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or" sheetId="1" state="visible" r:id="rId1"/>
    <sheet name="Revenue" sheetId="2" state="visible" r:id="rId2"/>
    <sheet name="Costs" sheetId="3" state="visible" r:id="rId3"/>
    <sheet name="P&amp;L Summary" sheetId="4" state="visible" r:id="rId4"/>
    <sheet name="Cash 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;(₹#,##0);&quot;-&quot;"/>
    <numFmt numFmtId="165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2B5797"/>
      <sz val="16"/>
    </font>
    <font>
      <name val="Arial"/>
      <color rgb="006B7D8F"/>
      <sz val="11"/>
    </font>
    <font>
      <name val="Arial"/>
      <b val="1"/>
      <color rgb="002B5797"/>
      <sz val="13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i val="1"/>
      <color rgb="006B7D8F"/>
      <sz val="10"/>
    </font>
    <font>
      <name val="Arial"/>
      <b val="1"/>
      <color rgb="000000FF"/>
      <sz val="11"/>
    </font>
    <font>
      <name val="Arial"/>
      <i val="1"/>
      <color rgb="00999999"/>
      <sz val="9"/>
    </font>
    <font>
      <name val="Arial"/>
      <b val="1"/>
      <color rgb="006B7D8F"/>
      <sz val="9"/>
    </font>
    <font>
      <name val="Arial"/>
      <b val="1"/>
      <color rgb="002B5797"/>
      <sz val="28"/>
    </font>
    <font>
      <name val="Arial"/>
      <b val="1"/>
      <color rgb="00006100"/>
      <sz val="28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B5797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bottom style="medium">
        <color rgb="002B5797"/>
      </bottom>
    </border>
    <border>
      <top style="medium">
        <color rgb="002B5797"/>
      </top>
      <bottom style="double">
        <color rgb="002B5797"/>
      </bottom>
    </border>
    <border>
      <left/>
      <right/>
      <top/>
      <bottom style="medium">
        <color rgb="002B5797"/>
      </bottom>
      <diagonal/>
    </border>
    <border>
      <right/>
      <bottom style="medium">
        <color rgb="002B5797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2" borderId="0" pivotButton="0" quotePrefix="0" xfId="0"/>
    <xf numFmtId="165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3" fontId="5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7" fillId="0" borderId="2" pivotButton="0" quotePrefix="0" xfId="0"/>
    <xf numFmtId="164" fontId="7" fillId="0" borderId="2" applyAlignment="1" pivotButton="0" quotePrefix="0" xfId="0">
      <alignment horizontal="center"/>
    </xf>
    <xf numFmtId="0" fontId="6" fillId="3" borderId="0" pivotButton="0" quotePrefix="0" xfId="0"/>
    <xf numFmtId="164" fontId="5" fillId="2" borderId="0" pivotButton="0" quotePrefix="0" xfId="0"/>
    <xf numFmtId="0" fontId="5" fillId="0" borderId="0" applyAlignment="1" pivotButton="0" quotePrefix="0" xfId="0">
      <alignment horizontal="center"/>
    </xf>
    <xf numFmtId="164" fontId="4" fillId="0" borderId="0" pivotButton="0" quotePrefix="0" xfId="0"/>
    <xf numFmtId="0" fontId="8" fillId="0" borderId="0" pivotButton="0" quotePrefix="0" xfId="0"/>
    <xf numFmtId="0" fontId="0" fillId="0" borderId="2" pivotButton="0" quotePrefix="0" xfId="0"/>
    <xf numFmtId="164" fontId="7" fillId="0" borderId="2" pivotButton="0" quotePrefix="0" xfId="0"/>
    <xf numFmtId="0" fontId="7" fillId="0" borderId="0" pivotButton="0" quotePrefix="0" xfId="0"/>
    <xf numFmtId="164" fontId="7" fillId="0" borderId="0" applyAlignment="1" pivotButton="0" quotePrefix="0" xfId="0">
      <alignment horizontal="center"/>
    </xf>
    <xf numFmtId="164" fontId="7" fillId="4" borderId="2" applyAlignment="1" pivotButton="0" quotePrefix="0" xfId="0">
      <alignment horizontal="center"/>
    </xf>
    <xf numFmtId="164" fontId="7" fillId="5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9" fillId="0" borderId="0" pivotButton="0" quotePrefix="0" xfId="0"/>
    <xf numFmtId="3" fontId="9" fillId="2" borderId="0" applyAlignment="1" pivotButton="0" quotePrefix="0" xfId="0">
      <alignment horizontal="center"/>
    </xf>
    <xf numFmtId="164" fontId="5" fillId="2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3" fontId="5" fillId="2" borderId="0" applyAlignment="1" pivotButton="0" quotePrefix="0" xfId="0">
      <alignment horizontal="center"/>
    </xf>
    <xf numFmtId="0" fontId="10" fillId="0" borderId="0" pivotButton="0" quotePrefix="0" xfId="0"/>
    <xf numFmtId="164" fontId="12" fillId="0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3" fontId="12" fillId="0" borderId="0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0" fillId="0" borderId="3" pivotButton="0" quotePrefix="0" xfId="0"/>
    <xf numFmtId="0" fontId="6" fillId="3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12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Costs by # of Kids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'Simulator'!C46</f>
            </strRef>
          </tx>
          <spPr>
            <a:solidFill>
              <a:srgbClr val="2B5797"/>
            </a:solidFill>
            <a:ln>
              <a:prstDash val="solid"/>
            </a:ln>
          </spPr>
          <cat>
            <numRef>
              <f>'Simulator'!$B$47:$B$58</f>
            </numRef>
          </cat>
          <val>
            <numRef>
              <f>'Simulator'!$C$47:$C$58</f>
            </numRef>
          </val>
        </ser>
        <ser>
          <idx val="1"/>
          <order val="1"/>
          <tx>
            <strRef>
              <f>'Simulator'!D46</f>
            </strRef>
          </tx>
          <spPr>
            <a:solidFill>
              <a:srgbClr val="E05A3A"/>
            </a:solidFill>
            <a:ln>
              <a:prstDash val="solid"/>
            </a:ln>
          </spPr>
          <cat>
            <numRef>
              <f>'Simulator'!$B$47:$B$58</f>
            </numRef>
          </cat>
          <val>
            <numRef>
              <f>'Simulator'!$D$47:$D$58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'Simulator'!E46</f>
            </strRef>
          </tx>
          <spPr>
            <a:ln w="25000">
              <a:solidFill>
                <a:srgbClr val="3A8C6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'Simulator'!$E$47:$E$58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Kids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5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2" customWidth="1" min="3" max="3"/>
    <col width="22" customWidth="1" min="4" max="4"/>
    <col width="5" customWidth="1" min="5" max="5"/>
    <col width="22" customWidth="1" min="6" max="6"/>
    <col width="22" customWidth="1" min="7" max="7"/>
    <col width="5" customWidth="1" min="8" max="8"/>
    <col width="35" customWidth="1" min="9" max="9"/>
    <col width="22" customWidth="1" min="10" max="10"/>
  </cols>
  <sheetData>
    <row r="1">
      <c r="B1" s="1" t="inlineStr">
        <is>
          <t>THE SUMMER CLUB — SCENARIO SIMULATOR</t>
        </is>
      </c>
    </row>
    <row r="2">
      <c r="B2" s="2" t="inlineStr">
        <is>
          <t>Change the yellow cells to see how your numbers shift instantly</t>
        </is>
      </c>
    </row>
    <row r="4">
      <c r="B4" s="3" t="inlineStr">
        <is>
          <t>YOUR INPUTS</t>
        </is>
      </c>
      <c r="C4" s="4" t="n"/>
      <c r="D4" s="4" t="n"/>
      <c r="E4" s="4" t="n"/>
      <c r="F4" s="4" t="n"/>
      <c r="G4" s="4" t="n"/>
    </row>
    <row r="5">
      <c r="F5" s="31" t="inlineStr">
        <is>
          <t>TOTAL REVENUE</t>
        </is>
      </c>
    </row>
    <row r="6">
      <c r="B6" s="5" t="inlineStr">
        <is>
          <t>Number of kids</t>
        </is>
      </c>
      <c r="C6" s="32" t="n">
        <v>18</v>
      </c>
      <c r="D6" s="33" t="inlineStr">
        <is>
          <t>Change this to see break-even</t>
        </is>
      </c>
      <c r="F6" s="34">
        <f>C28</f>
        <v/>
      </c>
    </row>
    <row r="7">
      <c r="B7" s="5" t="inlineStr">
        <is>
          <t>Early bird price</t>
        </is>
      </c>
      <c r="C7" s="30" t="n">
        <v>21000</v>
      </c>
      <c r="D7" s="33" t="inlineStr">
        <is>
          <t>Price for first 25 families</t>
        </is>
      </c>
    </row>
    <row r="8">
      <c r="B8" s="5" t="inlineStr">
        <is>
          <t>Regular price</t>
        </is>
      </c>
      <c r="C8" s="30" t="n">
        <v>24500</v>
      </c>
      <c r="D8" s="33" t="inlineStr">
        <is>
          <t>Full price after early bird</t>
        </is>
      </c>
      <c r="F8" s="31" t="inlineStr">
        <is>
          <t>TOTAL COSTS</t>
        </is>
      </c>
    </row>
    <row r="9">
      <c r="B9" s="5" t="inlineStr">
        <is>
          <t>% paying early bird</t>
        </is>
      </c>
      <c r="C9" s="35" t="n">
        <v>0.6</v>
      </c>
      <c r="D9" s="33" t="inlineStr">
        <is>
          <t>What portion gets the discount</t>
        </is>
      </c>
      <c r="F9" s="34">
        <f>C40</f>
        <v/>
      </c>
    </row>
    <row r="10">
      <c r="B10" s="5" t="inlineStr"/>
    </row>
    <row r="11">
      <c r="B11" s="5" t="inlineStr">
        <is>
          <t>Venue rent (per month)</t>
        </is>
      </c>
      <c r="C11" s="30" t="n">
        <v>45000</v>
      </c>
      <c r="D11" s="33" t="inlineStr">
        <is>
          <t>Half-day (9-1pm), gated campus, AC, South BLR</t>
        </is>
      </c>
      <c r="F11" s="31" t="inlineStr">
        <is>
          <t>NET PROFIT</t>
        </is>
      </c>
    </row>
    <row r="12">
      <c r="B12" s="5" t="inlineStr">
        <is>
          <t>Venue deposit (refundable)</t>
        </is>
      </c>
      <c r="C12" s="30" t="n">
        <v>90000</v>
      </c>
      <c r="D12" s="33" t="inlineStr">
        <is>
          <t>2 months deposit (refundable after camp)</t>
        </is>
      </c>
      <c r="F12" s="36">
        <f>C42</f>
        <v/>
      </c>
    </row>
    <row r="13">
      <c r="B13" s="5" t="inlineStr">
        <is>
          <t>Staff cost (per month, total)</t>
        </is>
      </c>
      <c r="C13" s="30" t="n">
        <v>95000</v>
      </c>
      <c r="D13" s="33" t="inlineStr">
        <is>
          <t>Instructor ₹35K + ₹30K + Helper ₹18K + First aid ₹12K</t>
        </is>
      </c>
    </row>
    <row r="14">
      <c r="B14" s="5" t="inlineStr">
        <is>
          <t>Materials per child (7 weeks)</t>
        </is>
      </c>
      <c r="C14" s="30" t="n">
        <v>3500</v>
      </c>
      <c r="D14" s="33" t="inlineStr">
        <is>
          <t>₹500/child/week avg across all 7 themes</t>
        </is>
      </c>
      <c r="F14" s="31" t="inlineStr">
        <is>
          <t>MARGIN</t>
        </is>
      </c>
    </row>
    <row r="15">
      <c r="B15" s="5" t="inlineStr">
        <is>
          <t>Snacks per child per day</t>
        </is>
      </c>
      <c r="C15" s="30" t="n">
        <v>55</v>
      </c>
      <c r="D15" s="33" t="inlineStr">
        <is>
          <t>Quality fruit + juice, ₹55/child/day</t>
        </is>
      </c>
      <c r="F15" s="37">
        <f>C43</f>
        <v/>
      </c>
    </row>
    <row r="16">
      <c r="B16" s="5" t="inlineStr">
        <is>
          <t>Per-child ops (tshirt, cert, etc)</t>
        </is>
      </c>
      <c r="C16" s="30" t="n">
        <v>1000</v>
      </c>
      <c r="D16" s="33" t="inlineStr">
        <is>
          <t>T-shirt ₹450 + Scrapbook ₹300 + Cert ₹150 + Tag ₹100</t>
        </is>
      </c>
    </row>
    <row r="17">
      <c r="B17" s="5" t="inlineStr">
        <is>
          <t>Marketing budget</t>
        </is>
      </c>
      <c r="C17" s="30" t="n">
        <v>15000</v>
      </c>
      <c r="D17" s="33" t="inlineStr">
        <is>
          <t>Flyers, posters, Instagram boost, WhatsApp tools</t>
        </is>
      </c>
      <c r="F17" s="31" t="inlineStr">
        <is>
          <t>BREAK-EVEN KIDS</t>
        </is>
      </c>
    </row>
    <row r="18">
      <c r="B18" s="5" t="inlineStr">
        <is>
          <t>Insurance + first aid kit</t>
        </is>
      </c>
      <c r="C18" s="30" t="n">
        <v>15000</v>
      </c>
      <c r="D18" s="33" t="inlineStr">
        <is>
          <t>Group activity insurance + first aid kit + safety gear</t>
        </is>
      </c>
      <c r="F18" s="38">
        <f>ROUNDUP((C31+C32+C36+C37+((C31+C32+C36+C37)*C19)) / ((C7*C9+C8*(1-C9)) - (C14+C15*35+C16) - (C14+C15*35+C16)*C19), 0)</f>
        <v/>
      </c>
    </row>
    <row r="19">
      <c r="B19" s="5" t="inlineStr">
        <is>
          <t>Buffer %</t>
        </is>
      </c>
      <c r="C19" s="35" t="n">
        <v>0.1</v>
      </c>
      <c r="D19" s="33" t="inlineStr">
        <is>
          <t>Safety margin</t>
        </is>
      </c>
    </row>
    <row r="20">
      <c r="F20" s="31" t="inlineStr">
        <is>
          <t>COST PER CHILD</t>
        </is>
      </c>
    </row>
    <row r="21">
      <c r="B21" s="3" t="inlineStr">
        <is>
          <t>RESULTS</t>
        </is>
      </c>
      <c r="C21" s="4" t="n"/>
      <c r="D21" s="4" t="n"/>
      <c r="E21" s="4" t="n"/>
      <c r="F21" s="43">
        <f>IF(C6&gt;0,C40/C6,0)</f>
        <v/>
      </c>
      <c r="G21" s="40" t="n"/>
    </row>
    <row r="23">
      <c r="B23" s="3" t="inlineStr">
        <is>
          <t>REVENUE</t>
        </is>
      </c>
      <c r="C23" s="4" t="n"/>
      <c r="D23" s="4" t="n"/>
    </row>
    <row r="24">
      <c r="B24" s="5" t="inlineStr">
        <is>
          <t>Early bird kids</t>
        </is>
      </c>
      <c r="C24" s="12">
        <f>ROUND(C6*C9,0)</f>
        <v/>
      </c>
    </row>
    <row r="25">
      <c r="B25" s="5" t="inlineStr">
        <is>
          <t>Regular kids</t>
        </is>
      </c>
      <c r="C25" s="12">
        <f>C6-C24</f>
        <v/>
      </c>
    </row>
    <row r="26">
      <c r="B26" s="5" t="inlineStr">
        <is>
          <t>Early bird revenue</t>
        </is>
      </c>
      <c r="C26" s="13">
        <f>C24*C7</f>
        <v/>
      </c>
    </row>
    <row r="27">
      <c r="B27" s="5" t="inlineStr">
        <is>
          <t>Regular revenue</t>
        </is>
      </c>
      <c r="C27" s="13">
        <f>C25*C8</f>
        <v/>
      </c>
    </row>
    <row r="28">
      <c r="B28" s="14" t="inlineStr">
        <is>
          <t>Total Revenue</t>
        </is>
      </c>
      <c r="C28" s="15">
        <f>C26+C27</f>
        <v/>
      </c>
      <c r="D28" s="21" t="n"/>
    </row>
    <row r="29">
      <c r="B29" s="5" t="inlineStr"/>
    </row>
    <row r="30">
      <c r="B30" s="3" t="inlineStr">
        <is>
          <t>COSTS</t>
        </is>
      </c>
      <c r="C30" s="4" t="n"/>
      <c r="D30" s="4" t="n"/>
    </row>
    <row r="31">
      <c r="B31" s="5" t="inlineStr">
        <is>
          <t>Venue (rent × 2 + deposit)</t>
        </is>
      </c>
      <c r="C31" s="13">
        <f>C11*2+C12</f>
        <v/>
      </c>
    </row>
    <row r="32">
      <c r="B32" s="5" t="inlineStr">
        <is>
          <t>Staff (× 2 months)</t>
        </is>
      </c>
      <c r="C32" s="13">
        <f>C13*2</f>
        <v/>
      </c>
    </row>
    <row r="33">
      <c r="B33" s="5" t="inlineStr">
        <is>
          <t>Materials (all kids)</t>
        </is>
      </c>
      <c r="C33" s="13">
        <f>C14*C6</f>
        <v/>
      </c>
    </row>
    <row r="34">
      <c r="B34" s="5" t="inlineStr">
        <is>
          <t>Snacks (all kids × 35 days)</t>
        </is>
      </c>
      <c r="C34" s="13">
        <f>C15*C6*35</f>
        <v/>
      </c>
    </row>
    <row r="35">
      <c r="B35" s="5" t="inlineStr">
        <is>
          <t>Per-child ops (all kids)</t>
        </is>
      </c>
      <c r="C35" s="13">
        <f>C16*C6</f>
        <v/>
      </c>
    </row>
    <row r="36">
      <c r="B36" s="5" t="inlineStr">
        <is>
          <t>Marketing</t>
        </is>
      </c>
      <c r="C36" s="13">
        <f>C17</f>
        <v/>
      </c>
    </row>
    <row r="37">
      <c r="B37" s="5" t="inlineStr">
        <is>
          <t>Insurance + ops</t>
        </is>
      </c>
      <c r="C37" s="13">
        <f>C18</f>
        <v/>
      </c>
    </row>
    <row r="38">
      <c r="B38" s="5" t="inlineStr">
        <is>
          <t>Subtotal</t>
        </is>
      </c>
      <c r="C38" s="13">
        <f>SUM(C31:C37)</f>
        <v/>
      </c>
    </row>
    <row r="39">
      <c r="B39" s="5" t="inlineStr">
        <is>
          <t>Buffer</t>
        </is>
      </c>
      <c r="C39" s="13">
        <f>C38*C19</f>
        <v/>
      </c>
    </row>
    <row r="40">
      <c r="B40" s="14" t="inlineStr">
        <is>
          <t>Total Costs</t>
        </is>
      </c>
      <c r="C40" s="15">
        <f>C38+C39</f>
        <v/>
      </c>
      <c r="D40" s="21" t="n"/>
    </row>
    <row r="41">
      <c r="B41" s="5" t="inlineStr"/>
    </row>
    <row r="42">
      <c r="B42" s="14" t="inlineStr">
        <is>
          <t>NET PROFIT / (LOSS)</t>
        </is>
      </c>
      <c r="C42" s="15">
        <f>C28-C40</f>
        <v/>
      </c>
      <c r="D42" s="21" t="n"/>
    </row>
    <row r="43">
      <c r="B43" s="5" t="inlineStr">
        <is>
          <t>Margin %</t>
        </is>
      </c>
      <c r="C43" s="27">
        <f>IF(C28&gt;0,C42/C28,0)</f>
        <v/>
      </c>
    </row>
    <row r="45">
      <c r="B45" s="3" t="inlineStr">
        <is>
          <t>SENSITIVITY: PROFIT BY NUMBER OF KIDS</t>
        </is>
      </c>
      <c r="C45" s="4" t="n"/>
      <c r="D45" s="4" t="n"/>
      <c r="E45" s="4" t="n"/>
      <c r="F45" s="4" t="n"/>
      <c r="G45" s="4" t="n"/>
    </row>
    <row r="46">
      <c r="B46" s="41" t="inlineStr">
        <is>
          <t># Kids</t>
        </is>
      </c>
      <c r="C46" s="41" t="inlineStr">
        <is>
          <t>Revenue</t>
        </is>
      </c>
      <c r="D46" s="41" t="inlineStr">
        <is>
          <t>Total Costs</t>
        </is>
      </c>
      <c r="E46" s="41" t="inlineStr">
        <is>
          <t>Profit</t>
        </is>
      </c>
      <c r="F46" s="41" t="inlineStr">
        <is>
          <t>Margin</t>
        </is>
      </c>
    </row>
    <row r="47">
      <c r="B47" s="42" t="n">
        <v>5</v>
      </c>
      <c r="C47" s="13">
        <f>B47*(C$7*C$9+C$8*(1-C$9))</f>
        <v/>
      </c>
      <c r="D47" s="13">
        <f>((C$11*2+C$12+C$13*2+C$17+C$18)+(C$14+C$15*35+C$16)*B47)*(1+C$19)</f>
        <v/>
      </c>
      <c r="E47" s="13">
        <f>C47-D47</f>
        <v/>
      </c>
      <c r="F47" s="27">
        <f>IF(C47&gt;0,E47/C47,0)</f>
        <v/>
      </c>
    </row>
    <row r="48">
      <c r="B48" s="42" t="n">
        <v>8</v>
      </c>
      <c r="C48" s="13">
        <f>B48*(C$7*C$9+C$8*(1-C$9))</f>
        <v/>
      </c>
      <c r="D48" s="13">
        <f>((C$11*2+C$12+C$13*2+C$17+C$18)+(C$14+C$15*35+C$16)*B48)*(1+C$19)</f>
        <v/>
      </c>
      <c r="E48" s="13">
        <f>C48-D48</f>
        <v/>
      </c>
      <c r="F48" s="27">
        <f>IF(C48&gt;0,E48/C48,0)</f>
        <v/>
      </c>
    </row>
    <row r="49">
      <c r="B49" s="42" t="n">
        <v>10</v>
      </c>
      <c r="C49" s="13">
        <f>B49*(C$7*C$9+C$8*(1-C$9))</f>
        <v/>
      </c>
      <c r="D49" s="13">
        <f>((C$11*2+C$12+C$13*2+C$17+C$18)+(C$14+C$15*35+C$16)*B49)*(1+C$19)</f>
        <v/>
      </c>
      <c r="E49" s="13">
        <f>C49-D49</f>
        <v/>
      </c>
      <c r="F49" s="27">
        <f>IF(C49&gt;0,E49/C49,0)</f>
        <v/>
      </c>
    </row>
    <row r="50">
      <c r="B50" s="42" t="n">
        <v>12</v>
      </c>
      <c r="C50" s="13">
        <f>B50*(C$7*C$9+C$8*(1-C$9))</f>
        <v/>
      </c>
      <c r="D50" s="13">
        <f>((C$11*2+C$12+C$13*2+C$17+C$18)+(C$14+C$15*35+C$16)*B50)*(1+C$19)</f>
        <v/>
      </c>
      <c r="E50" s="13">
        <f>C50-D50</f>
        <v/>
      </c>
      <c r="F50" s="27">
        <f>IF(C50&gt;0,E50/C50,0)</f>
        <v/>
      </c>
    </row>
    <row r="51">
      <c r="B51" s="42" t="n">
        <v>14</v>
      </c>
      <c r="C51" s="13">
        <f>B51*(C$7*C$9+C$8*(1-C$9))</f>
        <v/>
      </c>
      <c r="D51" s="13">
        <f>((C$11*2+C$12+C$13*2+C$17+C$18)+(C$14+C$15*35+C$16)*B51)*(1+C$19)</f>
        <v/>
      </c>
      <c r="E51" s="13">
        <f>C51-D51</f>
        <v/>
      </c>
      <c r="F51" s="27">
        <f>IF(C51&gt;0,E51/C51,0)</f>
        <v/>
      </c>
    </row>
    <row r="52">
      <c r="B52" s="42" t="n">
        <v>16</v>
      </c>
      <c r="C52" s="13">
        <f>B52*(C$7*C$9+C$8*(1-C$9))</f>
        <v/>
      </c>
      <c r="D52" s="13">
        <f>((C$11*2+C$12+C$13*2+C$17+C$18)+(C$14+C$15*35+C$16)*B52)*(1+C$19)</f>
        <v/>
      </c>
      <c r="E52" s="13">
        <f>C52-D52</f>
        <v/>
      </c>
      <c r="F52" s="27">
        <f>IF(C52&gt;0,E52/C52,0)</f>
        <v/>
      </c>
    </row>
    <row r="53">
      <c r="B53" s="42" t="n">
        <v>18</v>
      </c>
      <c r="C53" s="13">
        <f>B53*(C$7*C$9+C$8*(1-C$9))</f>
        <v/>
      </c>
      <c r="D53" s="13">
        <f>((C$11*2+C$12+C$13*2+C$17+C$18)+(C$14+C$15*35+C$16)*B53)*(1+C$19)</f>
        <v/>
      </c>
      <c r="E53" s="13">
        <f>C53-D53</f>
        <v/>
      </c>
      <c r="F53" s="27">
        <f>IF(C53&gt;0,E53/C53,0)</f>
        <v/>
      </c>
    </row>
    <row r="54">
      <c r="B54" s="42" t="n">
        <v>20</v>
      </c>
      <c r="C54" s="13">
        <f>B54*(C$7*C$9+C$8*(1-C$9))</f>
        <v/>
      </c>
      <c r="D54" s="13">
        <f>((C$11*2+C$12+C$13*2+C$17+C$18)+(C$14+C$15*35+C$16)*B54)*(1+C$19)</f>
        <v/>
      </c>
      <c r="E54" s="13">
        <f>C54-D54</f>
        <v/>
      </c>
      <c r="F54" s="27">
        <f>IF(C54&gt;0,E54/C54,0)</f>
        <v/>
      </c>
    </row>
    <row r="55">
      <c r="B55" s="42" t="n">
        <v>22</v>
      </c>
      <c r="C55" s="13">
        <f>B55*(C$7*C$9+C$8*(1-C$9))</f>
        <v/>
      </c>
      <c r="D55" s="13">
        <f>((C$11*2+C$12+C$13*2+C$17+C$18)+(C$14+C$15*35+C$16)*B55)*(1+C$19)</f>
        <v/>
      </c>
      <c r="E55" s="13">
        <f>C55-D55</f>
        <v/>
      </c>
      <c r="F55" s="27">
        <f>IF(C55&gt;0,E55/C55,0)</f>
        <v/>
      </c>
    </row>
    <row r="56">
      <c r="B56" s="42" t="n">
        <v>24</v>
      </c>
      <c r="C56" s="13">
        <f>B56*(C$7*C$9+C$8*(1-C$9))</f>
        <v/>
      </c>
      <c r="D56" s="13">
        <f>((C$11*2+C$12+C$13*2+C$17+C$18)+(C$14+C$15*35+C$16)*B56)*(1+C$19)</f>
        <v/>
      </c>
      <c r="E56" s="13">
        <f>C56-D56</f>
        <v/>
      </c>
      <c r="F56" s="27">
        <f>IF(C56&gt;0,E56/C56,0)</f>
        <v/>
      </c>
    </row>
    <row r="57">
      <c r="B57" s="42" t="n">
        <v>28</v>
      </c>
      <c r="C57" s="13">
        <f>B57*(C$7*C$9+C$8*(1-C$9))</f>
        <v/>
      </c>
      <c r="D57" s="13">
        <f>((C$11*2+C$12+C$13*2+C$17+C$18)+(C$14+C$15*35+C$16)*B57)*(1+C$19)</f>
        <v/>
      </c>
      <c r="E57" s="13">
        <f>C57-D57</f>
        <v/>
      </c>
      <c r="F57" s="27">
        <f>IF(C57&gt;0,E57/C57,0)</f>
        <v/>
      </c>
    </row>
    <row r="58">
      <c r="B58" s="42" t="n">
        <v>30</v>
      </c>
      <c r="C58" s="13">
        <f>B58*(C$7*C$9+C$8*(1-C$9))</f>
        <v/>
      </c>
      <c r="D58" s="13">
        <f>((C$11*2+C$12+C$13*2+C$17+C$18)+(C$14+C$15*35+C$16)*B58)*(1+C$19)</f>
        <v/>
      </c>
      <c r="E58" s="13">
        <f>C58-D58</f>
        <v/>
      </c>
      <c r="F58" s="27">
        <f>IF(C58&gt;0,E58/C58,0)</f>
        <v/>
      </c>
    </row>
  </sheetData>
  <mergeCells count="13">
    <mergeCell ref="F21:G21"/>
    <mergeCell ref="F11:G11"/>
    <mergeCell ref="F12:G12"/>
    <mergeCell ref="F15:G15"/>
    <mergeCell ref="F5:G5"/>
    <mergeCell ref="F20:G20"/>
    <mergeCell ref="B1:G1"/>
    <mergeCell ref="F18:G18"/>
    <mergeCell ref="F6:G6"/>
    <mergeCell ref="F14:G14"/>
    <mergeCell ref="F17:G17"/>
    <mergeCell ref="F9:G9"/>
    <mergeCell ref="F8:G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THE SUMMER CLUB — REVENUE SCENARIOS</t>
        </is>
      </c>
    </row>
    <row r="2">
      <c r="A2" s="2" t="inlineStr">
        <is>
          <t>7-week programme · April 14 – May 30, 2026</t>
        </is>
      </c>
    </row>
    <row r="4">
      <c r="A4" s="3" t="inlineStr">
        <is>
          <t>ASSUMPTIONS</t>
        </is>
      </c>
      <c r="B4" s="4" t="n"/>
      <c r="C4" s="4" t="n"/>
      <c r="D4" s="4" t="n"/>
      <c r="E4" s="4" t="n"/>
    </row>
    <row r="6">
      <c r="A6" s="5" t="inlineStr">
        <is>
          <t>Early bird price (per child)</t>
        </is>
      </c>
      <c r="B6" s="6" t="n">
        <v>21000</v>
      </c>
    </row>
    <row r="7">
      <c r="A7" s="5" t="inlineStr">
        <is>
          <t>Regular price (per child)</t>
        </is>
      </c>
      <c r="B7" s="6" t="n">
        <v>24500</v>
      </c>
    </row>
    <row r="8">
      <c r="A8" s="5" t="inlineStr">
        <is>
          <t>Early bird mix</t>
        </is>
      </c>
      <c r="B8" s="7" t="n">
        <v>0.6</v>
      </c>
    </row>
    <row r="9">
      <c r="A9" s="5" t="inlineStr">
        <is>
          <t>Regular mix</t>
        </is>
      </c>
      <c r="B9" s="8">
        <f>1-B8</f>
        <v/>
      </c>
    </row>
    <row r="11">
      <c r="A11" s="3" t="inlineStr">
        <is>
          <t>SCENARIOS</t>
        </is>
      </c>
      <c r="B11" s="4" t="n"/>
      <c r="C11" s="4" t="n"/>
      <c r="D11" s="4" t="n"/>
      <c r="E11" s="4" t="n"/>
    </row>
    <row r="12" ht="35" customHeight="1">
      <c r="A12" s="9" t="inlineStr"/>
      <c r="B12" s="9" t="inlineStr">
        <is>
          <t>Scenario A
(Conservative)</t>
        </is>
      </c>
      <c r="C12" s="9" t="inlineStr">
        <is>
          <t>Scenario B
(Target)</t>
        </is>
      </c>
      <c r="D12" s="9" t="inlineStr">
        <is>
          <t>Scenario C
(Stretch)</t>
        </is>
      </c>
    </row>
    <row r="13">
      <c r="A13" s="10" t="inlineStr">
        <is>
          <t>Total kids</t>
        </is>
      </c>
      <c r="B13" s="11" t="n">
        <v>12</v>
      </c>
      <c r="C13" s="11" t="n">
        <v>18</v>
      </c>
      <c r="D13" s="11" t="n">
        <v>24</v>
      </c>
    </row>
    <row r="14">
      <c r="A14" s="5" t="inlineStr">
        <is>
          <t>Early bird kids</t>
        </is>
      </c>
      <c r="B14" s="12">
        <f>B13*B8</f>
        <v/>
      </c>
      <c r="C14" s="12">
        <f>C13*B8</f>
        <v/>
      </c>
      <c r="D14" s="12">
        <f>D13*B8</f>
        <v/>
      </c>
    </row>
    <row r="15">
      <c r="A15" s="5" t="inlineStr">
        <is>
          <t>Regular price kids</t>
        </is>
      </c>
      <c r="B15" s="12">
        <f>B13-B14</f>
        <v/>
      </c>
      <c r="C15" s="12">
        <f>C13-C14</f>
        <v/>
      </c>
      <c r="D15" s="12">
        <f>D13-D14</f>
        <v/>
      </c>
    </row>
    <row r="16">
      <c r="A16" s="5" t="inlineStr"/>
    </row>
    <row r="17">
      <c r="A17" s="5" t="inlineStr">
        <is>
          <t>Early bird revenue</t>
        </is>
      </c>
      <c r="B17" s="13">
        <f>B14*B6</f>
        <v/>
      </c>
      <c r="C17" s="13">
        <f>C14*B6</f>
        <v/>
      </c>
      <c r="D17" s="13">
        <f>D14*B6</f>
        <v/>
      </c>
    </row>
    <row r="18">
      <c r="A18" s="5" t="inlineStr">
        <is>
          <t>Regular revenue</t>
        </is>
      </c>
      <c r="B18" s="13">
        <f>B15*B7</f>
        <v/>
      </c>
      <c r="C18" s="13">
        <f>C15*B7</f>
        <v/>
      </c>
      <c r="D18" s="13">
        <f>D15*B7</f>
        <v/>
      </c>
    </row>
    <row r="19">
      <c r="A19" s="5" t="inlineStr"/>
    </row>
    <row r="20">
      <c r="A20" s="14" t="inlineStr">
        <is>
          <t>TOTAL REVENUE</t>
        </is>
      </c>
      <c r="B20" s="15">
        <f>B17+B18</f>
        <v/>
      </c>
      <c r="C20" s="15">
        <f>C17+C18</f>
        <v/>
      </c>
      <c r="D20" s="15">
        <f>D17+D18</f>
        <v/>
      </c>
    </row>
    <row r="21">
      <c r="A21" s="5" t="inlineStr">
        <is>
          <t>Revenue per child</t>
        </is>
      </c>
      <c r="B21" s="13">
        <f>B20/B13</f>
        <v/>
      </c>
      <c r="C21" s="13">
        <f>C20/C13</f>
        <v/>
      </c>
      <c r="D21" s="13">
        <f>D20/D13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5" customWidth="1" min="4" max="4"/>
    <col width="30" customWidth="1" min="5" max="5"/>
  </cols>
  <sheetData>
    <row r="1">
      <c r="A1" s="1" t="inlineStr">
        <is>
          <t>THE SUMMER CLUB — DETAILED COSTS</t>
        </is>
      </c>
    </row>
    <row r="2">
      <c r="A2" s="2" t="inlineStr">
        <is>
          <t>Based on target batch of 18 kids</t>
        </is>
      </c>
    </row>
    <row r="4">
      <c r="A4" s="16" t="inlineStr">
        <is>
          <t>Item</t>
        </is>
      </c>
      <c r="B4" s="16" t="inlineStr">
        <is>
          <t>Monthly / Unit</t>
        </is>
      </c>
      <c r="C4" s="16" t="inlineStr">
        <is>
          <t>Duration / Qty</t>
        </is>
      </c>
      <c r="D4" s="16" t="inlineStr">
        <is>
          <t>Total</t>
        </is>
      </c>
      <c r="E4" s="16" t="inlineStr">
        <is>
          <t>Notes</t>
        </is>
      </c>
    </row>
    <row r="5">
      <c r="A5" s="3" t="inlineStr">
        <is>
          <t>VENUE</t>
        </is>
      </c>
      <c r="B5" s="4" t="n"/>
      <c r="C5" s="4" t="n"/>
      <c r="D5" s="4" t="n"/>
      <c r="E5" s="4" t="n"/>
    </row>
    <row r="6">
      <c r="A6" s="5" t="inlineStr">
        <is>
          <t>Activity space rental</t>
        </is>
      </c>
      <c r="B6" s="17" t="n">
        <v>45000</v>
      </c>
      <c r="C6" s="18" t="inlineStr">
        <is>
          <t>2 months</t>
        </is>
      </c>
      <c r="D6" s="19">
        <f>B6*2</f>
        <v/>
      </c>
      <c r="E6" s="20" t="inlineStr">
        <is>
          <t>Community hall / co-working space, mornings only</t>
        </is>
      </c>
    </row>
    <row r="7">
      <c r="A7" s="5" t="inlineStr">
        <is>
          <t>Security deposit (refundable)</t>
        </is>
      </c>
      <c r="B7" s="17" t="n">
        <v>90000</v>
      </c>
      <c r="C7" s="18" t="inlineStr">
        <is>
          <t>1</t>
        </is>
      </c>
      <c r="D7" s="19">
        <f>B7</f>
        <v/>
      </c>
      <c r="E7" s="20" t="inlineStr">
        <is>
          <t>Typically 1 month rent</t>
        </is>
      </c>
    </row>
    <row r="9">
      <c r="A9" s="3" t="inlineStr">
        <is>
          <t>STAFF</t>
        </is>
      </c>
      <c r="B9" s="4" t="n"/>
      <c r="C9" s="4" t="n"/>
      <c r="D9" s="4" t="n"/>
      <c r="E9" s="4" t="n"/>
    </row>
    <row r="10">
      <c r="A10" s="5" t="inlineStr">
        <is>
          <t>Lead instructor #1</t>
        </is>
      </c>
      <c r="B10" s="17" t="n">
        <v>35000</v>
      </c>
      <c r="C10" s="18" t="inlineStr">
        <is>
          <t>2 months</t>
        </is>
      </c>
      <c r="D10" s="19">
        <f>B10*2</f>
        <v/>
      </c>
      <c r="E10" s="20" t="inlineStr">
        <is>
          <t>Art/science background, full-time for camp</t>
        </is>
      </c>
    </row>
    <row r="11">
      <c r="A11" s="5" t="inlineStr">
        <is>
          <t>Lead instructor #2</t>
        </is>
      </c>
      <c r="B11" s="17" t="n">
        <v>30000</v>
      </c>
      <c r="C11" s="18" t="inlineStr">
        <is>
          <t>2 months</t>
        </is>
      </c>
      <c r="D11" s="19">
        <f>B11*2</f>
        <v/>
      </c>
      <c r="E11" s="20" t="inlineStr">
        <is>
          <t>Sports/movement + cooking</t>
        </is>
      </c>
    </row>
    <row r="12">
      <c r="A12" s="5" t="inlineStr">
        <is>
          <t>Helper / assistant</t>
        </is>
      </c>
      <c r="B12" s="17" t="n">
        <v>18000</v>
      </c>
      <c r="C12" s="18" t="inlineStr">
        <is>
          <t>2 months</t>
        </is>
      </c>
      <c r="D12" s="19">
        <f>B12*2</f>
        <v/>
      </c>
      <c r="E12" s="20" t="inlineStr">
        <is>
          <t>Setup, cleanup, snack prep, supervision</t>
        </is>
      </c>
    </row>
    <row r="13">
      <c r="A13" s="5" t="inlineStr">
        <is>
          <t>First aid trained person</t>
        </is>
      </c>
      <c r="B13" s="17" t="n">
        <v>12000</v>
      </c>
      <c r="C13" s="18" t="inlineStr">
        <is>
          <t>2 months</t>
        </is>
      </c>
      <c r="D13" s="19">
        <f>B13*2</f>
        <v/>
      </c>
      <c r="E13" s="20" t="inlineStr">
        <is>
          <t>Part-time, on-call during camp hours</t>
        </is>
      </c>
    </row>
    <row r="15">
      <c r="A15" s="3" t="inlineStr">
        <is>
          <t>MATERIALS (per child per week)</t>
        </is>
      </c>
      <c r="B15" s="4" t="n"/>
      <c r="C15" s="4" t="n"/>
      <c r="D15" s="4" t="n"/>
      <c r="E15" s="4" t="n"/>
    </row>
    <row r="16">
      <c r="A16" s="5" t="inlineStr">
        <is>
          <t>Week 1: Art supplies</t>
        </is>
      </c>
      <c r="B16" s="17" t="n">
        <v>550</v>
      </c>
      <c r="C16" s="18" t="n">
        <v>18</v>
      </c>
      <c r="D16" s="19">
        <f>B16*C16</f>
        <v/>
      </c>
      <c r="E16" s="20" t="inlineStr">
        <is>
          <t>Clay, paint, canvas, brushes, tie-dye kit</t>
        </is>
      </c>
    </row>
    <row r="17">
      <c r="A17" s="5" t="inlineStr">
        <is>
          <t>Week 2: Science kits</t>
        </is>
      </c>
      <c r="B17" s="17" t="n">
        <v>500</v>
      </c>
      <c r="C17" s="18" t="n">
        <v>18</v>
      </c>
      <c r="D17" s="19">
        <f>B17*C17</f>
        <v/>
      </c>
      <c r="E17" s="20" t="inlineStr">
        <is>
          <t>Baking soda, magnets, slime ingredients, seed kits</t>
        </is>
      </c>
    </row>
    <row r="18">
      <c r="A18" s="5" t="inlineStr">
        <is>
          <t>Week 3: Cooking ingredients</t>
        </is>
      </c>
      <c r="B18" s="17" t="n">
        <v>450</v>
      </c>
      <c r="C18" s="18" t="n">
        <v>18</v>
      </c>
      <c r="D18" s="19">
        <f>B18*C18</f>
        <v/>
      </c>
      <c r="E18" s="20" t="inlineStr">
        <is>
          <t>Fruits, oats, honey, lemonade supplies</t>
        </is>
      </c>
    </row>
    <row r="19">
      <c r="A19" s="5" t="inlineStr">
        <is>
          <t>Week 4: Nature supplies</t>
        </is>
      </c>
      <c r="B19" s="17" t="n">
        <v>300</v>
      </c>
      <c r="C19" s="18" t="n">
        <v>18</v>
      </c>
      <c r="D19" s="19">
        <f>B19*C19</f>
        <v/>
      </c>
      <c r="E19" s="20" t="inlineStr">
        <is>
          <t>Bug hotel materials, pressed flower supplies, journals</t>
        </is>
      </c>
    </row>
    <row r="20">
      <c r="A20" s="5" t="inlineStr">
        <is>
          <t>Week 5: Robot building</t>
        </is>
      </c>
      <c r="B20" s="17" t="n">
        <v>600</v>
      </c>
      <c r="C20" s="18" t="n">
        <v>18</v>
      </c>
      <c r="D20" s="19">
        <f>B20*C20</f>
        <v/>
      </c>
      <c r="E20" s="20" t="inlineStr">
        <is>
          <t>Cardboard, foil, LEDs, tubes, coding cards</t>
        </is>
      </c>
    </row>
    <row r="21">
      <c r="A21" s="5" t="inlineStr">
        <is>
          <t>Week 6: Market supplies</t>
        </is>
      </c>
      <c r="B21" s="17" t="n">
        <v>450</v>
      </c>
      <c r="C21" s="18" t="n">
        <v>18</v>
      </c>
      <c r="D21" s="19">
        <f>B21*C21</f>
        <v/>
      </c>
      <c r="E21" s="20" t="inlineStr">
        <is>
          <t>Craft materials for products, signage, play money</t>
        </is>
      </c>
    </row>
    <row r="22">
      <c r="A22" s="5" t="inlineStr">
        <is>
          <t>Week 7: Exhibition</t>
        </is>
      </c>
      <c r="B22" s="17" t="n">
        <v>700</v>
      </c>
      <c r="C22" s="18" t="n">
        <v>18</v>
      </c>
      <c r="D22" s="19">
        <f>B22*C22</f>
        <v/>
      </c>
      <c r="E22" s="20" t="inlineStr">
        <is>
          <t>Frames, labels, certificates, scrapbooks, t-shirts</t>
        </is>
      </c>
    </row>
    <row r="24">
      <c r="A24" s="3" t="inlineStr">
        <is>
          <t>FOOD &amp; SNACKS</t>
        </is>
      </c>
      <c r="B24" s="4" t="n"/>
      <c r="C24" s="4" t="n"/>
      <c r="D24" s="4" t="n"/>
      <c r="E24" s="4" t="n"/>
    </row>
    <row r="25">
      <c r="A25" s="5" t="inlineStr">
        <is>
          <t>Daily snacks (fruit + juice)</t>
        </is>
      </c>
      <c r="B25" s="17" t="n">
        <v>55</v>
      </c>
      <c r="C25" s="18" t="inlineStr">
        <is>
          <t>18 kids × 35 days</t>
        </is>
      </c>
      <c r="D25" s="19">
        <f>B25*18*35</f>
        <v/>
      </c>
      <c r="E25" s="20" t="inlineStr">
        <is>
          <t>₹30/child/day</t>
        </is>
      </c>
    </row>
    <row r="27">
      <c r="A27" s="3" t="inlineStr">
        <is>
          <t>MARKETING</t>
        </is>
      </c>
      <c r="B27" s="4" t="n"/>
      <c r="C27" s="4" t="n"/>
      <c r="D27" s="4" t="n"/>
      <c r="E27" s="4" t="n"/>
    </row>
    <row r="28">
      <c r="A28" s="5" t="inlineStr">
        <is>
          <t>Flyers &amp; posters printing</t>
        </is>
      </c>
      <c r="B28" s="17" t="n">
        <v>5000</v>
      </c>
      <c r="C28" s="18" t="n">
        <v>1</v>
      </c>
      <c r="D28" s="19">
        <f>B28</f>
        <v/>
      </c>
      <c r="E28" s="20" t="inlineStr">
        <is>
          <t>200 flyers + 20 posters</t>
        </is>
      </c>
    </row>
    <row r="29">
      <c r="A29" s="5" t="inlineStr">
        <is>
          <t>Instagram promoted posts</t>
        </is>
      </c>
      <c r="B29" s="17" t="n">
        <v>10000</v>
      </c>
      <c r="C29" s="18" t="n">
        <v>1</v>
      </c>
      <c r="D29" s="19">
        <f>B29</f>
        <v/>
      </c>
      <c r="E29" s="20" t="inlineStr">
        <is>
          <t>Optional — boost 2-3 posts</t>
        </is>
      </c>
    </row>
    <row r="31">
      <c r="A31" s="3" t="inlineStr">
        <is>
          <t>OPERATIONS</t>
        </is>
      </c>
      <c r="B31" s="4" t="n"/>
      <c r="C31" s="4" t="n"/>
      <c r="D31" s="4" t="n"/>
      <c r="E31" s="4" t="n"/>
    </row>
    <row r="32">
      <c r="A32" s="5" t="inlineStr">
        <is>
          <t>Insurance</t>
        </is>
      </c>
      <c r="B32" s="17" t="n">
        <v>12000</v>
      </c>
      <c r="C32" s="18" t="n">
        <v>1</v>
      </c>
      <c r="D32" s="19">
        <f>B32</f>
        <v/>
      </c>
      <c r="E32" s="20" t="inlineStr">
        <is>
          <t>Group activity insurance for 7 weeks</t>
        </is>
      </c>
    </row>
    <row r="33">
      <c r="A33" s="5" t="inlineStr">
        <is>
          <t>First aid kit + supplies</t>
        </is>
      </c>
      <c r="B33" s="17" t="n">
        <v>5000</v>
      </c>
      <c r="C33" s="18" t="n">
        <v>1</v>
      </c>
      <c r="D33" s="19">
        <f>B33</f>
        <v/>
      </c>
      <c r="E33" s="20" t="inlineStr">
        <is>
          <t>Comprehensive kit</t>
        </is>
      </c>
    </row>
    <row r="34">
      <c r="A34" s="5" t="inlineStr">
        <is>
          <t>Certificates printing</t>
        </is>
      </c>
      <c r="B34" s="17" t="n">
        <v>200</v>
      </c>
      <c r="C34" s="18" t="n">
        <v>18</v>
      </c>
      <c r="D34" s="19">
        <f>B34*C34</f>
        <v/>
      </c>
      <c r="E34" s="20" t="inlineStr">
        <is>
          <t>Custom designed, heavy stock</t>
        </is>
      </c>
    </row>
    <row r="35">
      <c r="A35" s="5" t="inlineStr">
        <is>
          <t>Name tags + lanyards</t>
        </is>
      </c>
      <c r="B35" s="17" t="n">
        <v>120</v>
      </c>
      <c r="C35" s="18" t="n">
        <v>18</v>
      </c>
      <c r="D35" s="19">
        <f>B35*C35</f>
        <v/>
      </c>
      <c r="E35" s="20" t="inlineStr">
        <is>
          <t>Printed, durable</t>
        </is>
      </c>
    </row>
    <row r="36">
      <c r="A36" s="5" t="inlineStr">
        <is>
          <t>Camp t-shirts</t>
        </is>
      </c>
      <c r="B36" s="17" t="n">
        <v>450</v>
      </c>
      <c r="C36" s="18" t="n">
        <v>18</v>
      </c>
      <c r="D36" s="19">
        <f>B36*C36</f>
        <v/>
      </c>
      <c r="E36" s="20" t="inlineStr">
        <is>
          <t>Custom printed, given in Week 7</t>
        </is>
      </c>
    </row>
    <row r="37">
      <c r="A37" s="5" t="inlineStr">
        <is>
          <t>Scrapbooks</t>
        </is>
      </c>
      <c r="B37" s="17" t="n">
        <v>300</v>
      </c>
      <c r="C37" s="18" t="n">
        <v>18</v>
      </c>
      <c r="D37" s="19">
        <f>B37*C37</f>
        <v/>
      </c>
      <c r="E37" s="20" t="inlineStr">
        <is>
          <t>Blank hardcover, given in Week 7</t>
        </is>
      </c>
    </row>
    <row r="39">
      <c r="A39" s="3" t="inlineStr">
        <is>
          <t>MISCELLANEOUS</t>
        </is>
      </c>
      <c r="B39" s="4" t="n"/>
      <c r="C39" s="4" t="n"/>
      <c r="D39" s="4" t="n"/>
      <c r="E39" s="4" t="n"/>
    </row>
    <row r="40">
      <c r="A40" s="5" t="inlineStr">
        <is>
          <t>Buffer (10% of above)</t>
        </is>
      </c>
      <c r="D40" s="19">
        <f>SUM(D6:D37)*0.1</f>
        <v/>
      </c>
      <c r="E40" s="20" t="inlineStr">
        <is>
          <t>Unexpected costs, replacements, extras</t>
        </is>
      </c>
    </row>
    <row r="42">
      <c r="A42" s="14" t="inlineStr">
        <is>
          <t>TOTAL COSTS</t>
        </is>
      </c>
      <c r="B42" s="21" t="n"/>
      <c r="C42" s="21" t="n"/>
      <c r="D42" s="22">
        <f>SUM(D6:D37)+D40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THE SUMMER CLUB — P&amp;L SUMMARY</t>
        </is>
      </c>
    </row>
    <row r="3" ht="35" customHeight="1">
      <c r="A3" s="9" t="inlineStr"/>
      <c r="B3" s="9" t="inlineStr">
        <is>
          <t>Conservative
(12 kids)</t>
        </is>
      </c>
      <c r="C3" s="9" t="inlineStr">
        <is>
          <t>Target
(18 kids)</t>
        </is>
      </c>
      <c r="D3" s="9" t="inlineStr">
        <is>
          <t>Stretch
(24 kids)</t>
        </is>
      </c>
    </row>
    <row r="4">
      <c r="A4" s="23" t="inlineStr">
        <is>
          <t>Revenue</t>
        </is>
      </c>
      <c r="B4" s="24">
        <f>Revenue!B20</f>
        <v/>
      </c>
      <c r="C4" s="24">
        <f>Revenue!C20</f>
        <v/>
      </c>
      <c r="D4" s="24">
        <f>Revenue!D20</f>
        <v/>
      </c>
    </row>
    <row r="5">
      <c r="A5" s="5" t="inlineStr"/>
    </row>
    <row r="6">
      <c r="A6" s="3" t="inlineStr">
        <is>
          <t>Fixed Costs</t>
        </is>
      </c>
      <c r="B6" s="4" t="n"/>
      <c r="C6" s="4" t="n"/>
      <c r="D6" s="4" t="n"/>
    </row>
    <row r="7">
      <c r="A7" s="5" t="inlineStr">
        <is>
          <t xml:space="preserve">  Venue</t>
        </is>
      </c>
      <c r="B7" s="13">
        <f>Costs!D6+Costs!D7</f>
        <v/>
      </c>
      <c r="C7" s="13">
        <f>Costs!D6+Costs!D7</f>
        <v/>
      </c>
      <c r="D7" s="13">
        <f>Costs!D6+Costs!D7</f>
        <v/>
      </c>
    </row>
    <row r="8">
      <c r="A8" s="5" t="inlineStr">
        <is>
          <t xml:space="preserve">  Staff</t>
        </is>
      </c>
      <c r="B8" s="13">
        <f>Costs!D10+Costs!D11+Costs!D12+Costs!D13</f>
        <v/>
      </c>
      <c r="C8" s="13">
        <f>Costs!D10+Costs!D11+Costs!D12+Costs!D13</f>
        <v/>
      </c>
      <c r="D8" s="13">
        <f>Costs!D10+Costs!D11+Costs!D12+Costs!D13</f>
        <v/>
      </c>
    </row>
    <row r="9">
      <c r="A9" s="5" t="inlineStr">
        <is>
          <t xml:space="preserve">  Marketing</t>
        </is>
      </c>
      <c r="B9" s="13">
        <f>Costs!D28+Costs!D29</f>
        <v/>
      </c>
      <c r="C9" s="13">
        <f>Costs!D28+Costs!D29</f>
        <v/>
      </c>
      <c r="D9" s="13">
        <f>Costs!D28+Costs!D29</f>
        <v/>
      </c>
    </row>
    <row r="10">
      <c r="A10" s="5" t="inlineStr">
        <is>
          <t xml:space="preserve">  Insurance + ops (fixed)</t>
        </is>
      </c>
      <c r="B10" s="13">
        <f>Costs!D32+Costs!D33</f>
        <v/>
      </c>
      <c r="C10" s="13">
        <f>Costs!D32+Costs!D33</f>
        <v/>
      </c>
      <c r="D10" s="13">
        <f>Costs!D32+Costs!D33</f>
        <v/>
      </c>
    </row>
    <row r="11">
      <c r="A11" s="23" t="inlineStr">
        <is>
          <t>Total Fixed Costs</t>
        </is>
      </c>
      <c r="B11" s="24">
        <f>SUM(B6:B9)</f>
        <v/>
      </c>
      <c r="C11" s="24">
        <f>SUM(C6:C9)</f>
        <v/>
      </c>
      <c r="D11" s="24">
        <f>SUM(D6:D9)</f>
        <v/>
      </c>
    </row>
    <row r="12">
      <c r="A12" s="5" t="inlineStr"/>
    </row>
    <row r="13">
      <c r="A13" s="3" t="inlineStr">
        <is>
          <t>Variable Costs (per child)</t>
        </is>
      </c>
      <c r="B13" s="4" t="n"/>
      <c r="C13" s="4" t="n"/>
      <c r="D13" s="4" t="n"/>
    </row>
    <row r="14">
      <c r="A14" s="5" t="inlineStr">
        <is>
          <t xml:space="preserve">  Materials (7 weeks)</t>
        </is>
      </c>
      <c r="B14" s="13">
        <f>SUM(Costs!D16:Costs!D22)/18*12</f>
        <v/>
      </c>
      <c r="C14" s="13">
        <f>SUM(Costs!D16:Costs!D22)</f>
        <v/>
      </c>
      <c r="D14" s="13">
        <f>SUM(Costs!D16:Costs!D22)/18*24</f>
        <v/>
      </c>
    </row>
    <row r="15">
      <c r="A15" s="5" t="inlineStr">
        <is>
          <t xml:space="preserve">  Snacks (35 days)</t>
        </is>
      </c>
      <c r="B15" s="13">
        <f>30*12*35</f>
        <v/>
      </c>
      <c r="C15" s="13">
        <f>30*18*35</f>
        <v/>
      </c>
      <c r="D15" s="13">
        <f>30*24*35</f>
        <v/>
      </c>
    </row>
    <row r="16">
      <c r="A16" s="5" t="inlineStr">
        <is>
          <t xml:space="preserve">  T-shirts + scrapbooks + certs + tags</t>
        </is>
      </c>
      <c r="B16" s="13">
        <f>(350+200+150+100)*12</f>
        <v/>
      </c>
      <c r="C16" s="13">
        <f>(350+200+150+100)*18</f>
        <v/>
      </c>
      <c r="D16" s="13">
        <f>(350+200+150+100)*24</f>
        <v/>
      </c>
    </row>
    <row r="17">
      <c r="A17" s="23" t="inlineStr">
        <is>
          <t>Total Variable Costs</t>
        </is>
      </c>
      <c r="B17" s="24">
        <f>SUM(B13:B15)</f>
        <v/>
      </c>
      <c r="C17" s="24">
        <f>SUM(C13:C15)</f>
        <v/>
      </c>
      <c r="D17" s="24">
        <f>SUM(D13:D15)</f>
        <v/>
      </c>
    </row>
    <row r="18">
      <c r="A18" s="5" t="inlineStr"/>
    </row>
    <row r="19">
      <c r="A19" s="5" t="inlineStr">
        <is>
          <t>Buffer (10%)</t>
        </is>
      </c>
      <c r="B19" s="13">
        <f>(B10+B16)*0.1</f>
        <v/>
      </c>
      <c r="C19" s="13">
        <f>(C10+C16)*0.1</f>
        <v/>
      </c>
      <c r="D19" s="13">
        <f>(D10+D16)*0.1</f>
        <v/>
      </c>
    </row>
    <row r="20">
      <c r="A20" s="5" t="inlineStr"/>
    </row>
    <row r="21">
      <c r="A21" s="14" t="inlineStr">
        <is>
          <t>TOTAL COSTS</t>
        </is>
      </c>
      <c r="B21" s="25">
        <f>B10+B16+B18</f>
        <v/>
      </c>
      <c r="C21" s="25">
        <f>C10+C16+C18</f>
        <v/>
      </c>
      <c r="D21" s="25">
        <f>D10+D16+D18</f>
        <v/>
      </c>
    </row>
    <row r="22">
      <c r="A22" s="5" t="inlineStr"/>
    </row>
    <row r="23">
      <c r="A23" s="14" t="inlineStr">
        <is>
          <t>NET PROFIT / (LOSS)</t>
        </is>
      </c>
      <c r="B23" s="26">
        <f>B4-B20</f>
        <v/>
      </c>
      <c r="C23" s="26">
        <f>C4-C20</f>
        <v/>
      </c>
      <c r="D23" s="26">
        <f>D4-D20</f>
        <v/>
      </c>
    </row>
    <row r="24">
      <c r="A24" s="5" t="inlineStr">
        <is>
          <t>Margin %</t>
        </is>
      </c>
      <c r="B24" s="27">
        <f>IF(B4&gt;0,B22/B4,0)</f>
        <v/>
      </c>
      <c r="C24" s="27">
        <f>IF(C4&gt;0,C22/C4,0)</f>
        <v/>
      </c>
      <c r="D24" s="27">
        <f>IF(D4&gt;0,D22/D4,0)</f>
        <v/>
      </c>
    </row>
    <row r="25">
      <c r="A25" s="5" t="inlineStr"/>
    </row>
    <row r="26">
      <c r="A26" s="3" t="inlineStr">
        <is>
          <t>PER-CHILD ECONOMICS</t>
        </is>
      </c>
      <c r="B26" s="4" t="n"/>
      <c r="C26" s="4" t="n"/>
      <c r="D26" s="4" t="n"/>
    </row>
    <row r="27">
      <c r="A27" s="5" t="inlineStr">
        <is>
          <t>Revenue per child</t>
        </is>
      </c>
      <c r="B27" s="13">
        <f>Revenue!B21</f>
        <v/>
      </c>
      <c r="C27" s="13">
        <f>Revenue!C21</f>
        <v/>
      </c>
      <c r="D27" s="13">
        <f>Revenue!D21</f>
        <v/>
      </c>
    </row>
    <row r="28">
      <c r="A28" s="5" t="inlineStr">
        <is>
          <t>Cost per child</t>
        </is>
      </c>
      <c r="B28" s="13">
        <f>B20/12</f>
        <v/>
      </c>
      <c r="C28" s="13">
        <f>C20/18</f>
        <v/>
      </c>
      <c r="D28" s="13">
        <f>D20/24</f>
        <v/>
      </c>
    </row>
    <row r="29">
      <c r="A29" s="5" t="inlineStr">
        <is>
          <t>Margin per child</t>
        </is>
      </c>
      <c r="B29" s="13">
        <f>B26-B27</f>
        <v/>
      </c>
      <c r="C29" s="13">
        <f>C26-C27</f>
        <v/>
      </c>
      <c r="D29" s="13">
        <f>D26-D27</f>
        <v/>
      </c>
    </row>
    <row r="30">
      <c r="A30" s="5" t="inlineStr"/>
    </row>
    <row r="31">
      <c r="A31" s="3" t="inlineStr">
        <is>
          <t>BREAK-EVEN</t>
        </is>
      </c>
      <c r="B31" s="4" t="n"/>
      <c r="C31" s="4" t="n"/>
      <c r="D31" s="4" t="n"/>
    </row>
    <row r="32">
      <c r="A32" s="28" t="inlineStr">
        <is>
          <t>Break-even # of kids</t>
        </is>
      </c>
      <c r="B32" s="29">
        <f>ROUNDUP(B10/(Revenue!B21-B16/12),0)</f>
        <v/>
      </c>
      <c r="C32" s="29">
        <f>ROUNDUP(C10/(Revenue!C21-C16/18),0)</f>
        <v/>
      </c>
      <c r="D32" s="29">
        <f>ROUNDUP(D10/(Revenue!D21-D16/24),0)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THE SUMMER CLUB — CASH FLOW</t>
        </is>
      </c>
    </row>
    <row r="2">
      <c r="A2" s="2" t="inlineStr">
        <is>
          <t>Based on target scenario (18 kids)</t>
        </is>
      </c>
    </row>
    <row r="4" ht="35" customHeight="1">
      <c r="A4" s="9" t="inlineStr"/>
      <c r="B4" s="9" t="inlineStr">
        <is>
          <t>March
(Pre-camp)</t>
        </is>
      </c>
      <c r="C4" s="9" t="inlineStr">
        <is>
          <t>April
(Weeks 1-3)</t>
        </is>
      </c>
      <c r="D4" s="9" t="inlineStr">
        <is>
          <t>May
(Weeks 4-7)</t>
        </is>
      </c>
      <c r="E4" s="9" t="inlineStr">
        <is>
          <t>June
(Wrap-up)</t>
        </is>
      </c>
      <c r="F4" s="9" t="inlineStr">
        <is>
          <t>TOTAL</t>
        </is>
      </c>
    </row>
    <row r="5">
      <c r="A5" s="3" t="inlineStr">
        <is>
          <t>MONEY IN</t>
        </is>
      </c>
      <c r="B5" s="4" t="n"/>
      <c r="C5" s="4" t="n"/>
      <c r="D5" s="4" t="n"/>
      <c r="E5" s="4" t="n"/>
      <c r="F5" s="4" t="n"/>
    </row>
    <row r="6">
      <c r="A6" s="5" t="inlineStr">
        <is>
          <t>Registrations received</t>
        </is>
      </c>
      <c r="B6" s="30" t="n">
        <v>0</v>
      </c>
      <c r="C6" s="30" t="n">
        <v>15</v>
      </c>
      <c r="D6" s="30" t="n">
        <v>3</v>
      </c>
      <c r="E6" s="30" t="n">
        <v>0</v>
      </c>
      <c r="F6" s="13">
        <f>SUM(B6:E6)</f>
        <v/>
      </c>
    </row>
    <row r="7">
      <c r="A7" s="5" t="inlineStr">
        <is>
          <t>Registration revenue</t>
        </is>
      </c>
      <c r="B7" s="13">
        <f>B6*Revenue!C21</f>
        <v/>
      </c>
      <c r="C7" s="13">
        <f>C6*Revenue!C21</f>
        <v/>
      </c>
      <c r="D7" s="13">
        <f>D6*Revenue!C21</f>
        <v/>
      </c>
      <c r="E7" s="13">
        <f>E6*Revenue!C21</f>
        <v/>
      </c>
      <c r="F7" s="13">
        <f>SUM(B7:E7)</f>
        <v/>
      </c>
    </row>
    <row r="8">
      <c r="A8" s="14" t="inlineStr">
        <is>
          <t>Total Inflow</t>
        </is>
      </c>
      <c r="B8" s="15">
        <f>B7</f>
        <v/>
      </c>
      <c r="C8" s="15">
        <f>C7</f>
        <v/>
      </c>
      <c r="D8" s="15">
        <f>D7</f>
        <v/>
      </c>
      <c r="E8" s="15">
        <f>E7</f>
        <v/>
      </c>
      <c r="F8" s="15">
        <f>SUM(B8:E8)</f>
        <v/>
      </c>
    </row>
    <row r="9">
      <c r="A9" s="5" t="inlineStr"/>
    </row>
    <row r="10">
      <c r="A10" s="3" t="inlineStr">
        <is>
          <t>MONEY OUT</t>
        </is>
      </c>
      <c r="B10" s="4" t="n"/>
      <c r="C10" s="4" t="n"/>
      <c r="D10" s="4" t="n"/>
      <c r="E10" s="4" t="n"/>
      <c r="F10" s="4" t="n"/>
    </row>
    <row r="11">
      <c r="A11" s="5" t="inlineStr">
        <is>
          <t>Venue deposit</t>
        </is>
      </c>
      <c r="B11" s="30" t="n">
        <v>20000</v>
      </c>
      <c r="C11" s="30" t="n">
        <v>0</v>
      </c>
      <c r="D11" s="30" t="n">
        <v>0</v>
      </c>
      <c r="E11" s="30" t="n">
        <v>-20000</v>
      </c>
      <c r="F11" s="13">
        <f>SUM(B11:E11)</f>
        <v/>
      </c>
    </row>
    <row r="12">
      <c r="A12" s="5" t="inlineStr">
        <is>
          <t>Venue rent</t>
        </is>
      </c>
      <c r="B12" s="30" t="n">
        <v>0</v>
      </c>
      <c r="C12" s="30" t="n">
        <v>20000</v>
      </c>
      <c r="D12" s="30" t="n">
        <v>20000</v>
      </c>
      <c r="E12" s="30" t="n">
        <v>0</v>
      </c>
      <c r="F12" s="13">
        <f>SUM(B12:E12)</f>
        <v/>
      </c>
    </row>
    <row r="13">
      <c r="A13" s="5" t="inlineStr">
        <is>
          <t>Staff salaries</t>
        </is>
      </c>
      <c r="B13" s="30" t="n">
        <v>0</v>
      </c>
      <c r="C13" s="30" t="n">
        <v>55000</v>
      </c>
      <c r="D13" s="30" t="n">
        <v>55000</v>
      </c>
      <c r="E13" s="30" t="n">
        <v>0</v>
      </c>
      <c r="F13" s="13">
        <f>SUM(B13:E13)</f>
        <v/>
      </c>
    </row>
    <row r="14">
      <c r="A14" s="5" t="inlineStr">
        <is>
          <t>Materials — Weeks 1-3</t>
        </is>
      </c>
      <c r="B14" s="30" t="n">
        <v>15000</v>
      </c>
      <c r="C14" s="30" t="n">
        <v>34650</v>
      </c>
      <c r="D14" s="30" t="n">
        <v>0</v>
      </c>
      <c r="E14" s="30" t="n">
        <v>0</v>
      </c>
      <c r="F14" s="13">
        <f>SUM(B14:E14)</f>
        <v/>
      </c>
    </row>
    <row r="15">
      <c r="A15" s="5" t="inlineStr">
        <is>
          <t>Materials — Weeks 4-7</t>
        </is>
      </c>
      <c r="B15" s="30" t="n">
        <v>0</v>
      </c>
      <c r="C15" s="30" t="n">
        <v>0</v>
      </c>
      <c r="D15" s="30" t="n">
        <v>46350</v>
      </c>
      <c r="E15" s="30" t="n">
        <v>0</v>
      </c>
      <c r="F15" s="13">
        <f>SUM(B15:E15)</f>
        <v/>
      </c>
    </row>
    <row r="16">
      <c r="A16" s="5" t="inlineStr">
        <is>
          <t>Snacks</t>
        </is>
      </c>
      <c r="B16" s="30" t="n">
        <v>0</v>
      </c>
      <c r="C16" s="30" t="n">
        <v>8100</v>
      </c>
      <c r="D16" s="30" t="n">
        <v>10800</v>
      </c>
      <c r="E16" s="30" t="n">
        <v>0</v>
      </c>
      <c r="F16" s="13">
        <f>SUM(B16:E16)</f>
        <v/>
      </c>
    </row>
    <row r="17">
      <c r="A17" s="5" t="inlineStr">
        <is>
          <t>Marketing</t>
        </is>
      </c>
      <c r="B17" s="30" t="n">
        <v>5000</v>
      </c>
      <c r="C17" s="30" t="n">
        <v>3000</v>
      </c>
      <c r="D17" s="30" t="n">
        <v>0</v>
      </c>
      <c r="E17" s="30" t="n">
        <v>0</v>
      </c>
      <c r="F17" s="13">
        <f>SUM(B17:E17)</f>
        <v/>
      </c>
    </row>
    <row r="18">
      <c r="A18" s="5" t="inlineStr">
        <is>
          <t>Insurance + ops</t>
        </is>
      </c>
      <c r="B18" s="30" t="n">
        <v>11000</v>
      </c>
      <c r="C18" s="30" t="n">
        <v>3500</v>
      </c>
      <c r="D18" s="30" t="n">
        <v>0</v>
      </c>
      <c r="E18" s="30" t="n">
        <v>0</v>
      </c>
      <c r="F18" s="13">
        <f>SUM(B18:E18)</f>
        <v/>
      </c>
    </row>
    <row r="19">
      <c r="A19" s="5" t="inlineStr">
        <is>
          <t>T-shirts, certs, scrapbooks</t>
        </is>
      </c>
      <c r="B19" s="30" t="n">
        <v>0</v>
      </c>
      <c r="C19" s="30" t="n">
        <v>0</v>
      </c>
      <c r="D19" s="30" t="n">
        <v>14400</v>
      </c>
      <c r="E19" s="30" t="n">
        <v>0</v>
      </c>
      <c r="F19" s="13">
        <f>SUM(B19:E19)</f>
        <v/>
      </c>
    </row>
    <row r="20">
      <c r="A20" s="5" t="inlineStr">
        <is>
          <t>Buffer</t>
        </is>
      </c>
      <c r="B20" s="30" t="n">
        <v>2000</v>
      </c>
      <c r="C20" s="30" t="n">
        <v>5000</v>
      </c>
      <c r="D20" s="30" t="n">
        <v>5000</v>
      </c>
      <c r="E20" s="30" t="n">
        <v>0</v>
      </c>
      <c r="F20" s="13">
        <f>SUM(B20:E20)</f>
        <v/>
      </c>
    </row>
    <row r="21">
      <c r="A21" s="14" t="inlineStr">
        <is>
          <t>Total Outflow</t>
        </is>
      </c>
      <c r="B21" s="15">
        <f>SUM(B11:B20)</f>
        <v/>
      </c>
      <c r="C21" s="15">
        <f>SUM(C11:C20)</f>
        <v/>
      </c>
      <c r="D21" s="15">
        <f>SUM(D11:D20)</f>
        <v/>
      </c>
      <c r="E21" s="15">
        <f>SUM(E11:E20)</f>
        <v/>
      </c>
      <c r="F21" s="15">
        <f>SUM(B21:E21)</f>
        <v/>
      </c>
    </row>
    <row r="22">
      <c r="A22" s="5" t="inlineStr"/>
    </row>
    <row r="23">
      <c r="A23" s="14" t="inlineStr">
        <is>
          <t>NET CASH FLOW</t>
        </is>
      </c>
      <c r="B23" s="15">
        <f>B8-B21</f>
        <v/>
      </c>
      <c r="C23" s="15">
        <f>C8-C21</f>
        <v/>
      </c>
      <c r="D23" s="15">
        <f>D8-D21</f>
        <v/>
      </c>
      <c r="E23" s="15">
        <f>E8-E21</f>
        <v/>
      </c>
      <c r="F23" s="15">
        <f>SUM(B23:E23)</f>
        <v/>
      </c>
    </row>
    <row r="24">
      <c r="A24" s="14" t="inlineStr">
        <is>
          <t>CUMULATIVE BALANCE</t>
        </is>
      </c>
      <c r="B24" s="26">
        <f>B23</f>
        <v/>
      </c>
      <c r="C24" s="26">
        <f>B24+C23</f>
        <v/>
      </c>
      <c r="D24" s="26">
        <f>C24+D23</f>
        <v/>
      </c>
      <c r="E24" s="26">
        <f>D24+E23</f>
        <v/>
      </c>
      <c r="F24" s="15">
        <f>SUM(B24:E24)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2026-03-28T07:43:47Z</dcterms:created>
  <dcterms:modified xsi:type="dcterms:W3CDTF">2026-03-28T07:53:49Z</dcterms:modified>
</cp:coreProperties>
</file>
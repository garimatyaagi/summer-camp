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venue" sheetId="2" state="visible" r:id="rId2"/>
    <sheet name="Costs" sheetId="3" state="visible" r:id="rId3"/>
    <sheet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₹#,##0;(₹#,##0);&quot;-&quot;"/>
  </numFmts>
  <fonts count="17">
    <font>
      <name val="Calibri"/>
      <family val="2"/>
      <color theme="1"/>
      <sz val="11"/>
      <scheme val="minor"/>
    </font>
    <font>
      <name val="Arial"/>
      <b val="1"/>
      <color rgb="002B5797"/>
      <sz val="16"/>
    </font>
    <font>
      <name val="Arial"/>
      <color rgb="009BB8D7"/>
      <sz val="11"/>
    </font>
    <font>
      <name val="Arial"/>
      <b val="1"/>
      <color rgb="00FFFFFF"/>
      <sz val="11"/>
    </font>
    <font>
      <name val="Arial"/>
      <b val="1"/>
      <color rgb="001E2D3D"/>
      <sz val="10"/>
    </font>
    <font>
      <name val="Arial"/>
      <b val="1"/>
      <color rgb="000000FF"/>
      <sz val="10"/>
    </font>
    <font>
      <name val="Arial"/>
      <b val="1"/>
      <color rgb="002B5797"/>
      <sz val="10"/>
    </font>
    <font>
      <name val="Arial"/>
      <color rgb="000000FF"/>
      <sz val="10"/>
    </font>
    <font>
      <name val="Arial"/>
      <color rgb="001E2D3D"/>
      <sz val="10"/>
    </font>
    <font>
      <name val="Arial"/>
      <b val="1"/>
      <color rgb="002B5797"/>
      <sz val="13"/>
    </font>
    <font>
      <name val="Arial"/>
      <b val="1"/>
      <color rgb="00E05A3A"/>
      <sz val="12"/>
    </font>
    <font>
      <name val="Arial"/>
      <color rgb="00008000"/>
      <sz val="10"/>
    </font>
    <font>
      <name val="Arial"/>
      <i val="1"/>
      <color rgb="00999999"/>
      <sz val="9"/>
    </font>
    <font>
      <name val="Arial"/>
      <b val="1"/>
      <color rgb="002B5797"/>
      <sz val="12"/>
    </font>
    <font>
      <name val="Arial"/>
      <b val="1"/>
      <color rgb="002B5797"/>
      <sz val="11"/>
    </font>
    <font>
      <name val="Arial"/>
      <b val="1"/>
      <color rgb="00E05A3A"/>
      <sz val="14"/>
    </font>
    <font>
      <name val="Arial"/>
      <b val="1"/>
      <color rgb="00E05A3A"/>
      <sz val="16"/>
    </font>
  </fonts>
  <fills count="5">
    <fill>
      <patternFill/>
    </fill>
    <fill>
      <patternFill patternType="gray125"/>
    </fill>
    <fill>
      <patternFill patternType="solid">
        <fgColor rgb="002B5797"/>
      </patternFill>
    </fill>
    <fill>
      <patternFill patternType="solid">
        <fgColor rgb="00FFFF00"/>
      </patternFill>
    </fill>
    <fill>
      <patternFill patternType="solid">
        <fgColor rgb="00E8EDF3"/>
      </patternFill>
    </fill>
  </fills>
  <borders count="2">
    <border>
      <left/>
      <right/>
      <top/>
      <bottom/>
      <diagonal/>
    </border>
    <border>
      <left style="thin">
        <color rgb="00E8EDF3"/>
      </left>
      <right style="thin">
        <color rgb="00E8EDF3"/>
      </right>
      <top style="thin">
        <color rgb="00E8EDF3"/>
      </top>
      <bottom style="thin">
        <color rgb="00E8EDF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3" fontId="8" fillId="0" borderId="1" pivotButton="0" quotePrefix="0" xfId="0"/>
    <xf numFmtId="164" fontId="8" fillId="0" borderId="1" pivotButton="0" quotePrefix="0" xfId="0"/>
    <xf numFmtId="165" fontId="8" fillId="0" borderId="1" pivotButton="0" quotePrefix="0" xfId="0"/>
    <xf numFmtId="0" fontId="0" fillId="0" borderId="1" pivotButton="0" quotePrefix="0" xfId="0"/>
    <xf numFmtId="0" fontId="9" fillId="0" borderId="1" pivotButton="0" quotePrefix="0" xfId="0"/>
    <xf numFmtId="165" fontId="9" fillId="0" borderId="1" pivotButton="0" quotePrefix="0" xfId="0"/>
    <xf numFmtId="0" fontId="10" fillId="0" borderId="1" pivotButton="0" quotePrefix="0" xfId="0"/>
    <xf numFmtId="0" fontId="11" fillId="0" borderId="1" pivotButton="0" quotePrefix="0" xfId="0"/>
    <xf numFmtId="164" fontId="11" fillId="0" borderId="1" pivotButton="0" quotePrefix="0" xfId="0"/>
    <xf numFmtId="165" fontId="11" fillId="0" borderId="1" pivotButton="0" quotePrefix="0" xfId="0"/>
    <xf numFmtId="0" fontId="8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165" fontId="13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6" fillId="4" borderId="1" pivotButton="0" quotePrefix="0" xfId="0"/>
    <xf numFmtId="0" fontId="15" fillId="0" borderId="1" pivotButton="0" quotePrefix="0" xfId="0"/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5797"/>
    <outlinePr summaryBelow="1" summaryRight="1"/>
    <pageSetUpPr/>
  </sheetPr>
  <dimension ref="B2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18" customWidth="1" min="4" max="4"/>
    <col width="18" customWidth="1" min="5" max="5"/>
    <col width="2" customWidth="1" min="6" max="6"/>
    <col width="22" customWidth="1" min="7" max="7"/>
    <col width="18" customWidth="1" min="8" max="8"/>
    <col width="2" customWidth="1" min="9" max="9"/>
  </cols>
  <sheetData>
    <row r="2">
      <c r="B2" s="1" t="inlineStr">
        <is>
          <t>THE SUMMER CLUB</t>
        </is>
      </c>
    </row>
    <row r="3">
      <c r="B3" s="2" t="inlineStr">
        <is>
          <t>Budget &amp; P&amp;L Model</t>
        </is>
      </c>
    </row>
    <row r="5">
      <c r="B5" s="3" t="inlineStr">
        <is>
          <t>SCENARIO SELECTOR</t>
        </is>
      </c>
      <c r="C5" s="3" t="inlineStr"/>
      <c r="D5" s="3" t="inlineStr"/>
      <c r="E5" s="3" t="inlineStr"/>
    </row>
    <row r="6">
      <c r="B6" s="4" t="inlineStr">
        <is>
          <t>Select scenario →</t>
        </is>
      </c>
      <c r="C6" s="5" t="inlineStr">
        <is>
          <t>Base Case</t>
        </is>
      </c>
    </row>
    <row r="8">
      <c r="B8" s="6" t="inlineStr">
        <is>
          <t>SCENARIOS</t>
        </is>
      </c>
      <c r="C8" s="6" t="inlineStr">
        <is>
          <t>Conservative</t>
        </is>
      </c>
      <c r="D8" s="6" t="inlineStr">
        <is>
          <t>Base Case</t>
        </is>
      </c>
      <c r="E8" s="6" t="inlineStr">
        <is>
          <t>Optimistic</t>
        </is>
      </c>
    </row>
    <row r="9">
      <c r="B9" s="4" t="inlineStr">
        <is>
          <t>Number of kids</t>
        </is>
      </c>
      <c r="C9" s="7" t="n">
        <v>12</v>
      </c>
      <c r="D9" s="7" t="n">
        <v>18</v>
      </c>
      <c r="E9" s="7" t="n">
        <v>25</v>
      </c>
    </row>
    <row r="10">
      <c r="B10" s="4" t="inlineStr">
        <is>
          <t>Early bird %</t>
        </is>
      </c>
      <c r="C10" s="8" t="n">
        <v>0.8</v>
      </c>
      <c r="D10" s="8" t="n">
        <v>0.6</v>
      </c>
      <c r="E10" s="8" t="n">
        <v>0.5</v>
      </c>
    </row>
    <row r="11">
      <c r="B11" s="4" t="inlineStr">
        <is>
          <t>Early bird price</t>
        </is>
      </c>
      <c r="C11" s="9" t="n">
        <v>21000</v>
      </c>
      <c r="D11" s="9" t="n">
        <v>21000</v>
      </c>
      <c r="E11" s="9" t="n">
        <v>21000</v>
      </c>
    </row>
    <row r="12">
      <c r="B12" s="4" t="inlineStr">
        <is>
          <t>Regular price</t>
        </is>
      </c>
      <c r="C12" s="9" t="n">
        <v>24500</v>
      </c>
      <c r="D12" s="9" t="n">
        <v>24500</v>
      </c>
      <c r="E12" s="9" t="n">
        <v>24500</v>
      </c>
    </row>
    <row r="14">
      <c r="B14" s="6" t="inlineStr">
        <is>
          <t>ACTIVE SCENARIO</t>
        </is>
      </c>
      <c r="C14" s="6" t="inlineStr"/>
    </row>
    <row r="15">
      <c r="B15" s="4" t="inlineStr">
        <is>
          <t>Kids</t>
        </is>
      </c>
      <c r="C15" s="10">
        <f>IF(C6="Conservative",C9,IF(C6="Base Case",D9,E9))</f>
        <v/>
      </c>
    </row>
    <row r="16">
      <c r="B16" s="4" t="inlineStr">
        <is>
          <t>Early bird %</t>
        </is>
      </c>
      <c r="C16" s="11">
        <f>IF(C6="Conservative",C10,IF(C6="Base Case",D10,E10))</f>
        <v/>
      </c>
    </row>
    <row r="17">
      <c r="B17" s="4" t="inlineStr">
        <is>
          <t>Early bird price</t>
        </is>
      </c>
      <c r="C17" s="12">
        <f>IF(C6="Conservative",C11,IF(C6="Base Case",D11,E11))</f>
        <v/>
      </c>
    </row>
    <row r="18">
      <c r="B18" s="4" t="inlineStr">
        <is>
          <t>Regular price</t>
        </is>
      </c>
      <c r="C18" s="12">
        <f>IF(C6="Conservative",C12,IF(C6="Base Case",D12,E12))</f>
        <v/>
      </c>
    </row>
    <row r="20">
      <c r="B20" s="3" t="inlineStr">
        <is>
          <t>P&amp;L SUMMARY</t>
        </is>
      </c>
      <c r="C20" s="3" t="inlineStr"/>
      <c r="D20" s="3" t="inlineStr"/>
    </row>
    <row r="21">
      <c r="B21" s="4" t="inlineStr">
        <is>
          <t>Revenue</t>
        </is>
      </c>
      <c r="C21" s="12">
        <f>Revenue!D15</f>
        <v/>
      </c>
    </row>
    <row r="22">
      <c r="B22" s="4" t="inlineStr">
        <is>
          <t>Fixed costs</t>
        </is>
      </c>
      <c r="C22" s="12">
        <f>Costs!C28</f>
        <v/>
      </c>
    </row>
    <row r="23">
      <c r="B23" s="4" t="inlineStr">
        <is>
          <t>Variable costs</t>
        </is>
      </c>
      <c r="C23" s="12">
        <f>C15*Costs!C44</f>
        <v/>
      </c>
    </row>
    <row r="24">
      <c r="B24" s="4" t="inlineStr">
        <is>
          <t>Total costs</t>
        </is>
      </c>
      <c r="C24" s="12">
        <f>C22+C23</f>
        <v/>
      </c>
    </row>
    <row r="25">
      <c r="B25" s="4" t="inlineStr">
        <is>
          <t>10% contingency buffer</t>
        </is>
      </c>
      <c r="C25" s="12">
        <f>ROUND(C24*0.1, 0)</f>
        <v/>
      </c>
    </row>
    <row r="26">
      <c r="B26" s="13" t="n"/>
      <c r="C26" s="13" t="n"/>
    </row>
    <row r="27">
      <c r="B27" s="14" t="inlineStr">
        <is>
          <t>NET PROFIT / LOSS</t>
        </is>
      </c>
      <c r="C27" s="15">
        <f>C21-C24-C25</f>
        <v/>
      </c>
    </row>
    <row r="28">
      <c r="B28" s="4" t="inlineStr">
        <is>
          <t>Profit margin</t>
        </is>
      </c>
      <c r="C28" s="11">
        <f>IF(C21=0,0,C27/C21)</f>
        <v/>
      </c>
    </row>
    <row r="30">
      <c r="B30" s="6" t="inlineStr">
        <is>
          <t>KEY METRICS</t>
        </is>
      </c>
      <c r="C30" s="6" t="inlineStr"/>
    </row>
    <row r="31">
      <c r="B31" s="4" t="inlineStr">
        <is>
          <t>Revenue per kid</t>
        </is>
      </c>
      <c r="C31" s="12">
        <f>IF(C15=0,0,ROUND(C21/C15,0))</f>
        <v/>
      </c>
    </row>
    <row r="32">
      <c r="B32" s="4" t="inlineStr">
        <is>
          <t>Cost per kid (incl. fixed)</t>
        </is>
      </c>
      <c r="C32" s="12">
        <f>IF(C15=0,0,ROUND((C24+C25)/C15,0))</f>
        <v/>
      </c>
    </row>
    <row r="33">
      <c r="B33" s="4" t="inlineStr">
        <is>
          <t>Break-even kids needed</t>
        </is>
      </c>
      <c r="C33" s="16">
        <f>IF((C17*C16+C18*(1-C16)-Costs!C44)=0,0,ROUNDUP((C22+C22*0.1)/(C17*C16+C18*(1-C16)-Costs!C44),0))</f>
        <v/>
      </c>
    </row>
  </sheetData>
  <dataValidations count="1">
    <dataValidation sqref="C6" showDropDown="0" showInputMessage="0" showErrorMessage="0" allowBlank="0" errorTitle="Invalid scenario" error="Please select Conservative, Base Case, or Optimistic" type="list">
      <formula1>"Conservative,Base Case,Optimistic"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3A8C6E"/>
    <outlinePr summaryBelow="1" summaryRight="1"/>
    <pageSetUpPr/>
  </sheetPr>
  <dimension ref="B2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8" customWidth="1" min="4" max="4"/>
    <col width="30" customWidth="1" min="5" max="5"/>
    <col width="2" customWidth="1" min="6" max="6"/>
  </cols>
  <sheetData>
    <row r="2">
      <c r="B2" s="3" t="inlineStr">
        <is>
          <t>REVENUE BREAKDOWN</t>
        </is>
      </c>
      <c r="C2" s="3" t="inlineStr"/>
      <c r="D2" s="3" t="inlineStr"/>
      <c r="E2" s="3" t="inlineStr"/>
    </row>
    <row r="4">
      <c r="B4" s="6" t="inlineStr">
        <is>
          <t>Inputs (from Dashboard)</t>
        </is>
      </c>
      <c r="C4" s="6" t="inlineStr"/>
      <c r="D4" s="6" t="inlineStr"/>
      <c r="E4" s="6" t="inlineStr"/>
    </row>
    <row r="5">
      <c r="B5" s="4" t="inlineStr">
        <is>
          <t>Total kids</t>
        </is>
      </c>
      <c r="C5" s="17">
        <f>Dashboard!C15</f>
        <v/>
      </c>
    </row>
    <row r="6">
      <c r="B6" s="4" t="inlineStr">
        <is>
          <t>Early bird %</t>
        </is>
      </c>
      <c r="C6" s="18">
        <f>Dashboard!C16</f>
        <v/>
      </c>
    </row>
    <row r="7">
      <c r="B7" s="4" t="inlineStr">
        <is>
          <t>Early bird price</t>
        </is>
      </c>
      <c r="C7" s="19">
        <f>Dashboard!C17</f>
        <v/>
      </c>
    </row>
    <row r="8">
      <c r="B8" s="4" t="inlineStr">
        <is>
          <t>Regular price</t>
        </is>
      </c>
      <c r="C8" s="19">
        <f>Dashboard!C18</f>
        <v/>
      </c>
    </row>
    <row r="10">
      <c r="B10" s="6" t="inlineStr">
        <is>
          <t>Calculation</t>
        </is>
      </c>
      <c r="C10" s="6" t="inlineStr">
        <is>
          <t>Kids</t>
        </is>
      </c>
      <c r="D10" s="6" t="inlineStr">
        <is>
          <t>Revenue</t>
        </is>
      </c>
      <c r="E10" s="6" t="inlineStr">
        <is>
          <t>Notes</t>
        </is>
      </c>
    </row>
    <row r="11">
      <c r="B11" s="4" t="inlineStr">
        <is>
          <t>Early bird registrations</t>
        </is>
      </c>
      <c r="C11" s="20">
        <f>ROUND(C5*C6,0)</f>
        <v/>
      </c>
      <c r="D11" s="12">
        <f>C11*C7</f>
        <v/>
      </c>
      <c r="E11" s="21">
        <f>C6*100&amp;"% of kids at ₹"&amp;C7</f>
        <v/>
      </c>
    </row>
    <row r="12">
      <c r="B12" s="4" t="inlineStr">
        <is>
          <t>Regular registrations</t>
        </is>
      </c>
      <c r="C12" s="20">
        <f>C5-C11</f>
        <v/>
      </c>
      <c r="D12" s="12">
        <f>C12*C8</f>
        <v/>
      </c>
    </row>
    <row r="13">
      <c r="B13" s="4" t="inlineStr">
        <is>
          <t>Sibling discount (est.)</t>
        </is>
      </c>
      <c r="C13" s="20">
        <f>ROUND(C5*0.1,0)</f>
        <v/>
      </c>
      <c r="D13" s="12">
        <f>-ROUND(C13*C7*0.15,0)</f>
        <v/>
      </c>
      <c r="E13" s="21" t="inlineStr">
        <is>
          <t>~10% of kids are siblings, 15% off</t>
        </is>
      </c>
    </row>
    <row r="15">
      <c r="B15" s="22" t="inlineStr">
        <is>
          <t>TOTAL REVENUE</t>
        </is>
      </c>
      <c r="D15" s="23">
        <f>SUM(D11:D13)</f>
        <v/>
      </c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E05A3A"/>
    <outlinePr summaryBelow="1" summaryRight="1"/>
    <pageSetUpPr/>
  </sheetPr>
  <dimension ref="B2:F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2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2">
      <c r="B2" s="3" t="inlineStr">
        <is>
          <t>COST BREAKDOWN</t>
        </is>
      </c>
      <c r="C2" s="3" t="inlineStr"/>
      <c r="D2" s="3" t="inlineStr"/>
      <c r="E2" s="3" t="inlineStr"/>
      <c r="F2" s="3" t="inlineStr"/>
    </row>
    <row r="4">
      <c r="B4" s="6" t="inlineStr">
        <is>
          <t>FIXED COSTS</t>
        </is>
      </c>
      <c r="C4" s="6" t="inlineStr">
        <is>
          <t>Monthly</t>
        </is>
      </c>
      <c r="D4" s="6" t="inlineStr">
        <is>
          <t>Months</t>
        </is>
      </c>
      <c r="E4" s="6" t="inlineStr">
        <is>
          <t>Total</t>
        </is>
      </c>
      <c r="F4" s="6" t="inlineStr">
        <is>
          <t>Notes</t>
        </is>
      </c>
    </row>
    <row r="5">
      <c r="B5" s="20" t="inlineStr">
        <is>
          <t>Venue rent</t>
        </is>
      </c>
      <c r="C5" s="9" t="n">
        <v>45000</v>
      </c>
      <c r="D5" s="7" t="n">
        <v>2</v>
      </c>
      <c r="E5" s="12">
        <f>C5*D5</f>
        <v/>
      </c>
      <c r="F5" s="21" t="inlineStr">
        <is>
          <t>Half-day gated campus, South Bangalore</t>
        </is>
      </c>
    </row>
    <row r="6">
      <c r="B6" s="20" t="inlineStr">
        <is>
          <t>Venue deposit (refundable)</t>
        </is>
      </c>
      <c r="C6" s="9" t="n">
        <v>90000</v>
      </c>
      <c r="D6" s="7" t="n">
        <v>1</v>
      </c>
      <c r="E6" s="12">
        <f>C6*D6</f>
        <v/>
      </c>
      <c r="F6" s="21" t="inlineStr">
        <is>
          <t>2 months deposit, returned after camp</t>
        </is>
      </c>
    </row>
    <row r="7">
      <c r="B7" s="20" t="inlineStr">
        <is>
          <t>Lead instructor</t>
        </is>
      </c>
      <c r="C7" s="9" t="n">
        <v>35000</v>
      </c>
      <c r="D7" s="7" t="n">
        <v>2</v>
      </c>
      <c r="E7" s="12">
        <f>C7*D7</f>
        <v/>
      </c>
      <c r="F7" s="21" t="inlineStr">
        <is>
          <t>Art/science background, experienced with kids</t>
        </is>
      </c>
    </row>
    <row r="8">
      <c r="B8" s="20" t="inlineStr">
        <is>
          <t>Second instructor</t>
        </is>
      </c>
      <c r="C8" s="9" t="n">
        <v>30000</v>
      </c>
      <c r="D8" s="7" t="n">
        <v>2</v>
      </c>
      <c r="E8" s="12">
        <f>C8*D8</f>
        <v/>
      </c>
      <c r="F8" s="21" t="inlineStr">
        <is>
          <t>Activity specialist, assists lead</t>
        </is>
      </c>
    </row>
    <row r="9">
      <c r="B9" s="20" t="inlineStr">
        <is>
          <t>Helper / assistant</t>
        </is>
      </c>
      <c r="C9" s="9" t="n">
        <v>18000</v>
      </c>
      <c r="D9" s="7" t="n">
        <v>2</v>
      </c>
      <c r="E9" s="12">
        <f>C9*D9</f>
        <v/>
      </c>
      <c r="F9" s="21" t="inlineStr">
        <is>
          <t>Setup, cleanup, logistics, drop-off mgmt</t>
        </is>
      </c>
    </row>
    <row r="10">
      <c r="B10" s="20" t="inlineStr">
        <is>
          <t>First aid staff (part-time)</t>
        </is>
      </c>
      <c r="C10" s="9" t="n">
        <v>12000</v>
      </c>
      <c r="D10" s="7" t="n">
        <v>2</v>
      </c>
      <c r="E10" s="12">
        <f>C10*D10</f>
        <v/>
      </c>
      <c r="F10" s="21" t="inlineStr">
        <is>
          <t>Certified, on-site all sessions</t>
        </is>
      </c>
    </row>
    <row r="11">
      <c r="B11" s="20" t="inlineStr">
        <is>
          <t>Insurance</t>
        </is>
      </c>
      <c r="C11" s="9" t="n">
        <v>15000</v>
      </c>
      <c r="D11" s="7" t="n">
        <v>1</v>
      </c>
      <c r="E11" s="12">
        <f>C11*D11</f>
        <v/>
      </c>
      <c r="F11" s="21" t="inlineStr">
        <is>
          <t>Group activity insurance for 7 weeks</t>
        </is>
      </c>
    </row>
    <row r="12">
      <c r="B12" s="20" t="inlineStr">
        <is>
          <t>Marketing</t>
        </is>
      </c>
      <c r="C12" s="9" t="n">
        <v>15000</v>
      </c>
      <c r="D12" s="7" t="n">
        <v>1</v>
      </c>
      <c r="E12" s="12">
        <f>C12*D12</f>
        <v/>
      </c>
      <c r="F12" s="21" t="inlineStr">
        <is>
          <t>Flyers, Instagram ads, WhatsApp tools</t>
        </is>
      </c>
    </row>
    <row r="13">
      <c r="B13" s="20" t="inlineStr">
        <is>
          <t>First aid kit + safety gear</t>
        </is>
      </c>
      <c r="C13" s="9" t="n">
        <v>5000</v>
      </c>
      <c r="D13" s="7" t="n">
        <v>1</v>
      </c>
      <c r="E13" s="12">
        <f>C13*D13</f>
        <v/>
      </c>
      <c r="F13" s="21" t="inlineStr">
        <is>
          <t>Kit, supplies, safety equipment</t>
        </is>
      </c>
    </row>
    <row r="14">
      <c r="B14" s="24" t="inlineStr">
        <is>
          <t>TOTAL FIXED COSTS</t>
        </is>
      </c>
      <c r="E14" s="25">
        <f>SUM(E5:E13)</f>
        <v/>
      </c>
    </row>
    <row r="16">
      <c r="B16" s="6" t="inlineStr">
        <is>
          <t>VARIABLE COSTS (per child)</t>
        </is>
      </c>
      <c r="C16" s="6" t="inlineStr">
        <is>
          <t>Unit Cost</t>
        </is>
      </c>
      <c r="D16" s="6" t="inlineStr">
        <is>
          <t>Qty/Days</t>
        </is>
      </c>
      <c r="E16" s="6" t="inlineStr">
        <is>
          <t>Per Child</t>
        </is>
      </c>
      <c r="F16" s="6" t="inlineStr">
        <is>
          <t>Notes</t>
        </is>
      </c>
    </row>
    <row r="17">
      <c r="B17" s="20" t="inlineStr">
        <is>
          <t>Week 1: Art materials</t>
        </is>
      </c>
      <c r="C17" s="9" t="n">
        <v>550</v>
      </c>
      <c r="D17" s="7" t="n">
        <v>1</v>
      </c>
      <c r="E17" s="12">
        <f>C17*D17</f>
        <v/>
      </c>
      <c r="F17" s="21" t="inlineStr">
        <is>
          <t>Clay, paint, canvas, tie-dye supplies</t>
        </is>
      </c>
    </row>
    <row r="18">
      <c r="B18" s="20" t="inlineStr">
        <is>
          <t>Week 2: Science materials</t>
        </is>
      </c>
      <c r="C18" s="9" t="n">
        <v>500</v>
      </c>
      <c r="D18" s="7" t="n">
        <v>1</v>
      </c>
      <c r="E18" s="12">
        <f>C18*D18</f>
        <v/>
      </c>
      <c r="F18" s="21" t="inlineStr">
        <is>
          <t>Chemicals, magnets, seeds, lab supplies</t>
        </is>
      </c>
    </row>
    <row r="19">
      <c r="B19" s="20" t="inlineStr">
        <is>
          <t>Week 3: Cooking ingredients</t>
        </is>
      </c>
      <c r="C19" s="9" t="n">
        <v>450</v>
      </c>
      <c r="D19" s="7" t="n">
        <v>1</v>
      </c>
      <c r="E19" s="12">
        <f>C19*D19</f>
        <v/>
      </c>
      <c r="F19" s="21" t="inlineStr">
        <is>
          <t>Food ingredients, utensils</t>
        </is>
      </c>
    </row>
    <row r="20">
      <c r="B20" s="20" t="inlineStr">
        <is>
          <t>Week 4: Nature materials</t>
        </is>
      </c>
      <c r="C20" s="9" t="n">
        <v>300</v>
      </c>
      <c r="D20" s="7" t="n">
        <v>1</v>
      </c>
      <c r="E20" s="12">
        <f>C20*D20</f>
        <v/>
      </c>
      <c r="F20" s="21" t="inlineStr">
        <is>
          <t>Natural materials, journal, bug hotel kit</t>
        </is>
      </c>
    </row>
    <row r="21">
      <c r="B21" s="20" t="inlineStr">
        <is>
          <t>Week 5: Robot materials</t>
        </is>
      </c>
      <c r="C21" s="9" t="n">
        <v>600</v>
      </c>
      <c r="D21" s="7" t="n">
        <v>1</v>
      </c>
      <c r="E21" s="12">
        <f>C21*D21</f>
        <v/>
      </c>
      <c r="F21" s="21" t="inlineStr">
        <is>
          <t>Cardboard, LEDs, foil, tubes, wires</t>
        </is>
      </c>
    </row>
    <row r="22">
      <c r="B22" s="20" t="inlineStr">
        <is>
          <t>Week 6: Market supplies</t>
        </is>
      </c>
      <c r="C22" s="9" t="n">
        <v>450</v>
      </c>
      <c r="D22" s="7" t="n">
        <v>1</v>
      </c>
      <c r="E22" s="12">
        <f>C22*D22</f>
        <v/>
      </c>
      <c r="F22" s="21" t="inlineStr">
        <is>
          <t>Craft supplies for products to sell</t>
        </is>
      </c>
    </row>
    <row r="23">
      <c r="B23" s="20" t="inlineStr">
        <is>
          <t>Week 7: Exhibition materials</t>
        </is>
      </c>
      <c r="C23" s="9" t="n">
        <v>700</v>
      </c>
      <c r="D23" s="7" t="n">
        <v>1</v>
      </c>
      <c r="E23" s="12">
        <f>C23*D23</f>
        <v/>
      </c>
      <c r="F23" s="21" t="inlineStr">
        <is>
          <t>Frames, printing, gallery setup</t>
        </is>
      </c>
    </row>
    <row r="24">
      <c r="B24" s="20" t="inlineStr">
        <is>
          <t>Snacks (fruit + juice)</t>
        </is>
      </c>
      <c r="C24" s="9" t="n">
        <v>55</v>
      </c>
      <c r="D24" s="7" t="n">
        <v>35</v>
      </c>
      <c r="E24" s="12">
        <f>C24*D24</f>
        <v/>
      </c>
      <c r="F24" s="21" t="inlineStr">
        <is>
          <t>₹55/day × 35 days, quality fruit + juice</t>
        </is>
      </c>
    </row>
    <row r="25">
      <c r="B25" s="20" t="inlineStr">
        <is>
          <t>Custom T-shirt</t>
        </is>
      </c>
      <c r="C25" s="9" t="n">
        <v>450</v>
      </c>
      <c r="D25" s="7" t="n">
        <v>1</v>
      </c>
      <c r="E25" s="12">
        <f>C25*D25</f>
        <v/>
      </c>
      <c r="F25" s="21" t="inlineStr">
        <is>
          <t>Printed, good quality cotton</t>
        </is>
      </c>
    </row>
    <row r="26">
      <c r="B26" s="20" t="inlineStr">
        <is>
          <t>Scrapbook</t>
        </is>
      </c>
      <c r="C26" s="9" t="n">
        <v>300</v>
      </c>
      <c r="D26" s="7" t="n">
        <v>1</v>
      </c>
      <c r="E26" s="12">
        <f>C26*D26</f>
        <v/>
      </c>
      <c r="F26" s="21" t="inlineStr">
        <is>
          <t>Bound memory book</t>
        </is>
      </c>
    </row>
    <row r="27">
      <c r="B27" s="6" t="inlineStr">
        <is>
          <t>REFERENCE CELLS (used by Dashboard)</t>
        </is>
      </c>
      <c r="C27" s="26" t="inlineStr"/>
      <c r="D27" s="7" t="n">
        <v>1</v>
      </c>
      <c r="E27" s="12">
        <f>C27*D27</f>
        <v/>
      </c>
      <c r="F27" s="21" t="inlineStr">
        <is>
          <t>Quality printed on thick paper</t>
        </is>
      </c>
    </row>
    <row r="28">
      <c r="B28" s="4" t="inlineStr">
        <is>
          <t>Total fixed costs</t>
        </is>
      </c>
      <c r="C28" s="12">
        <f>E14</f>
        <v/>
      </c>
      <c r="D28" s="7" t="n">
        <v>1</v>
      </c>
      <c r="E28" s="12">
        <f>C28*D28</f>
        <v/>
      </c>
      <c r="F28" s="21" t="inlineStr">
        <is>
          <t>Custom with child's name</t>
        </is>
      </c>
    </row>
    <row r="29">
      <c r="B29" s="24" t="inlineStr">
        <is>
          <t>TOTAL PER CHILD</t>
        </is>
      </c>
      <c r="E29" s="25">
        <f>SUM(E17:E28)</f>
        <v/>
      </c>
    </row>
    <row r="44">
      <c r="B44" s="4" t="inlineStr">
        <is>
          <t>Total variable cost per child</t>
        </is>
      </c>
      <c r="C44" s="12">
        <f>E29</f>
        <v/>
      </c>
    </row>
  </sheetData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F0C75E"/>
    <outlinePr summaryBelow="1" summaryRight="1"/>
    <pageSetUpPr/>
  </sheetPr>
  <dimension ref="B2:H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  <col width="2" customWidth="1" min="9" max="9"/>
  </cols>
  <sheetData>
    <row r="2">
      <c r="B2" s="3" t="inlineStr">
        <is>
          <t>SENSITIVITY ANALYSIS</t>
        </is>
      </c>
      <c r="C2" s="3" t="inlineStr"/>
      <c r="D2" s="3" t="inlineStr"/>
      <c r="E2" s="3" t="inlineStr"/>
      <c r="F2" s="3" t="inlineStr"/>
      <c r="G2" s="3" t="inlineStr"/>
      <c r="H2" s="3" t="inlineStr"/>
    </row>
    <row r="3">
      <c r="B3" s="21" t="inlineStr">
        <is>
          <t>How profit changes with number of kids (using active scenario pricing)</t>
        </is>
      </c>
    </row>
    <row r="5">
      <c r="B5" s="6" t="inlineStr">
        <is>
          <t>Kids</t>
        </is>
      </c>
      <c r="C5" s="6" t="inlineStr">
        <is>
          <t>Revenue</t>
        </is>
      </c>
      <c r="D5" s="6" t="inlineStr">
        <is>
          <t>Fixed Costs</t>
        </is>
      </c>
      <c r="E5" s="6" t="inlineStr">
        <is>
          <t>Variable Costs</t>
        </is>
      </c>
      <c r="F5" s="6" t="inlineStr">
        <is>
          <t>Total Costs</t>
        </is>
      </c>
      <c r="G5" s="6" t="inlineStr">
        <is>
          <t>Profit / Loss</t>
        </is>
      </c>
      <c r="H5" s="6" t="inlineStr">
        <is>
          <t>Margin</t>
        </is>
      </c>
    </row>
    <row r="6">
      <c r="B6" s="4" t="n">
        <v>6</v>
      </c>
      <c r="C6" s="12">
        <f>ROUND(B6*(Dashboard!C16*Dashboard!C17+(1-Dashboard!C16)*Dashboard!C18) - ROUND(B6*0.1,0)*Dashboard!C17*0.15, 0)</f>
        <v/>
      </c>
      <c r="D6" s="12">
        <f>Costs!C28</f>
        <v/>
      </c>
      <c r="E6" s="12">
        <f>B6*Costs!C44</f>
        <v/>
      </c>
      <c r="F6" s="12">
        <f>D6+E6+ROUND((D6+E6)*0.1,0)</f>
        <v/>
      </c>
      <c r="G6" s="12">
        <f>C6-F6</f>
        <v/>
      </c>
      <c r="H6" s="11">
        <f>IF(C6=0,0,G6/C6)</f>
        <v/>
      </c>
    </row>
    <row r="7">
      <c r="B7" s="4" t="n">
        <v>8</v>
      </c>
      <c r="C7" s="12">
        <f>ROUND(B7*(Dashboard!C16*Dashboard!C17+(1-Dashboard!C16)*Dashboard!C18) - ROUND(B7*0.1,0)*Dashboard!C17*0.15, 0)</f>
        <v/>
      </c>
      <c r="D7" s="12">
        <f>Costs!C28</f>
        <v/>
      </c>
      <c r="E7" s="12">
        <f>B7*Costs!C44</f>
        <v/>
      </c>
      <c r="F7" s="12">
        <f>D7+E7+ROUND((D7+E7)*0.1,0)</f>
        <v/>
      </c>
      <c r="G7" s="12">
        <f>C7-F7</f>
        <v/>
      </c>
      <c r="H7" s="11">
        <f>IF(C7=0,0,G7/C7)</f>
        <v/>
      </c>
    </row>
    <row r="8">
      <c r="B8" s="4" t="n">
        <v>10</v>
      </c>
      <c r="C8" s="12">
        <f>ROUND(B8*(Dashboard!C16*Dashboard!C17+(1-Dashboard!C16)*Dashboard!C18) - ROUND(B8*0.1,0)*Dashboard!C17*0.15, 0)</f>
        <v/>
      </c>
      <c r="D8" s="12">
        <f>Costs!C28</f>
        <v/>
      </c>
      <c r="E8" s="12">
        <f>B8*Costs!C44</f>
        <v/>
      </c>
      <c r="F8" s="12">
        <f>D8+E8+ROUND((D8+E8)*0.1,0)</f>
        <v/>
      </c>
      <c r="G8" s="12">
        <f>C8-F8</f>
        <v/>
      </c>
      <c r="H8" s="11">
        <f>IF(C8=0,0,G8/C8)</f>
        <v/>
      </c>
    </row>
    <row r="9">
      <c r="B9" s="4" t="n">
        <v>12</v>
      </c>
      <c r="C9" s="12">
        <f>ROUND(B9*(Dashboard!C16*Dashboard!C17+(1-Dashboard!C16)*Dashboard!C18) - ROUND(B9*0.1,0)*Dashboard!C17*0.15, 0)</f>
        <v/>
      </c>
      <c r="D9" s="12">
        <f>Costs!C28</f>
        <v/>
      </c>
      <c r="E9" s="12">
        <f>B9*Costs!C44</f>
        <v/>
      </c>
      <c r="F9" s="12">
        <f>D9+E9+ROUND((D9+E9)*0.1,0)</f>
        <v/>
      </c>
      <c r="G9" s="12">
        <f>C9-F9</f>
        <v/>
      </c>
      <c r="H9" s="11">
        <f>IF(C9=0,0,G9/C9)</f>
        <v/>
      </c>
    </row>
    <row r="10">
      <c r="B10" s="4" t="n">
        <v>14</v>
      </c>
      <c r="C10" s="12">
        <f>ROUND(B10*(Dashboard!C16*Dashboard!C17+(1-Dashboard!C16)*Dashboard!C18) - ROUND(B10*0.1,0)*Dashboard!C17*0.15, 0)</f>
        <v/>
      </c>
      <c r="D10" s="12">
        <f>Costs!C28</f>
        <v/>
      </c>
      <c r="E10" s="12">
        <f>B10*Costs!C44</f>
        <v/>
      </c>
      <c r="F10" s="12">
        <f>D10+E10+ROUND((D10+E10)*0.1,0)</f>
        <v/>
      </c>
      <c r="G10" s="12">
        <f>C10-F10</f>
        <v/>
      </c>
      <c r="H10" s="11">
        <f>IF(C10=0,0,G10/C10)</f>
        <v/>
      </c>
    </row>
    <row r="11">
      <c r="B11" s="4" t="n">
        <v>16</v>
      </c>
      <c r="C11" s="12">
        <f>ROUND(B11*(Dashboard!C16*Dashboard!C17+(1-Dashboard!C16)*Dashboard!C18) - ROUND(B11*0.1,0)*Dashboard!C17*0.15, 0)</f>
        <v/>
      </c>
      <c r="D11" s="12">
        <f>Costs!C28</f>
        <v/>
      </c>
      <c r="E11" s="12">
        <f>B11*Costs!C44</f>
        <v/>
      </c>
      <c r="F11" s="12">
        <f>D11+E11+ROUND((D11+E11)*0.1,0)</f>
        <v/>
      </c>
      <c r="G11" s="12">
        <f>C11-F11</f>
        <v/>
      </c>
      <c r="H11" s="11">
        <f>IF(C11=0,0,G11/C11)</f>
        <v/>
      </c>
    </row>
    <row r="12">
      <c r="B12" s="4" t="n">
        <v>18</v>
      </c>
      <c r="C12" s="12">
        <f>ROUND(B12*(Dashboard!C16*Dashboard!C17+(1-Dashboard!C16)*Dashboard!C18) - ROUND(B12*0.1,0)*Dashboard!C17*0.15, 0)</f>
        <v/>
      </c>
      <c r="D12" s="12">
        <f>Costs!C28</f>
        <v/>
      </c>
      <c r="E12" s="12">
        <f>B12*Costs!C44</f>
        <v/>
      </c>
      <c r="F12" s="12">
        <f>D12+E12+ROUND((D12+E12)*0.1,0)</f>
        <v/>
      </c>
      <c r="G12" s="12">
        <f>C12-F12</f>
        <v/>
      </c>
      <c r="H12" s="11">
        <f>IF(C12=0,0,G12/C12)</f>
        <v/>
      </c>
    </row>
    <row r="13">
      <c r="B13" s="4" t="n">
        <v>20</v>
      </c>
      <c r="C13" s="12">
        <f>ROUND(B13*(Dashboard!C16*Dashboard!C17+(1-Dashboard!C16)*Dashboard!C18) - ROUND(B13*0.1,0)*Dashboard!C17*0.15, 0)</f>
        <v/>
      </c>
      <c r="D13" s="12">
        <f>Costs!C28</f>
        <v/>
      </c>
      <c r="E13" s="12">
        <f>B13*Costs!C44</f>
        <v/>
      </c>
      <c r="F13" s="12">
        <f>D13+E13+ROUND((D13+E13)*0.1,0)</f>
        <v/>
      </c>
      <c r="G13" s="12">
        <f>C13-F13</f>
        <v/>
      </c>
      <c r="H13" s="11">
        <f>IF(C13=0,0,G13/C13)</f>
        <v/>
      </c>
    </row>
    <row r="14">
      <c r="B14" s="4" t="n">
        <v>22</v>
      </c>
      <c r="C14" s="12">
        <f>ROUND(B14*(Dashboard!C16*Dashboard!C17+(1-Dashboard!C16)*Dashboard!C18) - ROUND(B14*0.1,0)*Dashboard!C17*0.15, 0)</f>
        <v/>
      </c>
      <c r="D14" s="12">
        <f>Costs!C28</f>
        <v/>
      </c>
      <c r="E14" s="12">
        <f>B14*Costs!C44</f>
        <v/>
      </c>
      <c r="F14" s="12">
        <f>D14+E14+ROUND((D14+E14)*0.1,0)</f>
        <v/>
      </c>
      <c r="G14" s="12">
        <f>C14-F14</f>
        <v/>
      </c>
      <c r="H14" s="11">
        <f>IF(C14=0,0,G14/C14)</f>
        <v/>
      </c>
    </row>
    <row r="15">
      <c r="B15" s="4" t="n">
        <v>25</v>
      </c>
      <c r="C15" s="12">
        <f>ROUND(B15*(Dashboard!C16*Dashboard!C17+(1-Dashboard!C16)*Dashboard!C18) - ROUND(B15*0.1,0)*Dashboard!C17*0.15, 0)</f>
        <v/>
      </c>
      <c r="D15" s="12">
        <f>Costs!C28</f>
        <v/>
      </c>
      <c r="E15" s="12">
        <f>B15*Costs!C44</f>
        <v/>
      </c>
      <c r="F15" s="12">
        <f>D15+E15+ROUND((D15+E15)*0.1,0)</f>
        <v/>
      </c>
      <c r="G15" s="12">
        <f>C15-F15</f>
        <v/>
      </c>
      <c r="H15" s="11">
        <f>IF(C15=0,0,G15/C15)</f>
        <v/>
      </c>
    </row>
    <row r="16">
      <c r="B16" s="4" t="n">
        <v>28</v>
      </c>
      <c r="C16" s="12">
        <f>ROUND(B16*(Dashboard!C16*Dashboard!C17+(1-Dashboard!C16)*Dashboard!C18) - ROUND(B16*0.1,0)*Dashboard!C17*0.15, 0)</f>
        <v/>
      </c>
      <c r="D16" s="12">
        <f>Costs!C28</f>
        <v/>
      </c>
      <c r="E16" s="12">
        <f>B16*Costs!C44</f>
        <v/>
      </c>
      <c r="F16" s="12">
        <f>D16+E16+ROUND((D16+E16)*0.1,0)</f>
        <v/>
      </c>
      <c r="G16" s="12">
        <f>C16-F16</f>
        <v/>
      </c>
      <c r="H16" s="11">
        <f>IF(C16=0,0,G16/C16)</f>
        <v/>
      </c>
    </row>
    <row r="17">
      <c r="B17" s="4" t="n">
        <v>30</v>
      </c>
      <c r="C17" s="12">
        <f>ROUND(B17*(Dashboard!C16*Dashboard!C17+(1-Dashboard!C16)*Dashboard!C18) - ROUND(B17*0.1,0)*Dashboard!C17*0.15, 0)</f>
        <v/>
      </c>
      <c r="D17" s="12">
        <f>Costs!C28</f>
        <v/>
      </c>
      <c r="E17" s="12">
        <f>B17*Costs!C44</f>
        <v/>
      </c>
      <c r="F17" s="12">
        <f>D17+E17+ROUND((D17+E17)*0.1,0)</f>
        <v/>
      </c>
      <c r="G17" s="12">
        <f>C17-F17</f>
        <v/>
      </c>
      <c r="H17" s="11">
        <f>IF(C17=0,0,G17/C17)</f>
        <v/>
      </c>
    </row>
    <row r="20">
      <c r="B20" s="27" t="inlineStr">
        <is>
          <t>BREAK-EVEN POINT</t>
        </is>
      </c>
    </row>
    <row r="21">
      <c r="B21" s="22" t="inlineStr">
        <is>
          <t>Kids needed:</t>
        </is>
      </c>
      <c r="C21" s="28">
        <f>Dashboard!C33</f>
        <v/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2026-03-28T09:33:48Z</dcterms:created>
  <dcterms:modified xsi:type="dcterms:W3CDTF">2026-03-28T09:33:48Z</dcterms:modified>
</cp:coreProperties>
</file>